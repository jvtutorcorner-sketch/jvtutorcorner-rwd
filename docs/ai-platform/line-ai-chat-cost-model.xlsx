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LayerCost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TCO-RunPod" sheetId="4" state="visible" r:id="rId4"/>
    <sheet xmlns:r="http://schemas.openxmlformats.org/officeDocument/2006/relationships" name="TCO-Local" sheetId="5" state="visible" r:id="rId5"/>
    <sheet xmlns:r="http://schemas.openxmlformats.org/officeDocument/2006/relationships" name="Breakeven" sheetId="6" state="visible" r:id="rId6"/>
    <sheet xmlns:r="http://schemas.openxmlformats.org/officeDocument/2006/relationships" name="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000"/>
    <numFmt numFmtId="166" formatCode="#,##0.0"/>
    <numFmt numFmtId="167" formatCode="0.0000"/>
    <numFmt numFmtId="168" formatCode="0.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1F4E79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3" fillId="3" borderId="0" pivotButton="0" quotePrefix="0" xfId="0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8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9" fontId="0" fillId="0" borderId="0" pivotButton="0" quotePrefix="0" xfId="0"/>
    <xf numFmtId="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70" customWidth="1" min="4" max="4"/>
  </cols>
  <sheetData>
    <row r="1">
      <c r="A1" s="1" t="inlineStr">
        <is>
          <t>LINE AI Chat — 五層架構 TCO 成本模型（Inputs 驅動全表；黃底可調）</t>
        </is>
      </c>
    </row>
    <row r="2">
      <c r="A2" s="2" t="inlineStr">
        <is>
          <t>參數</t>
        </is>
      </c>
      <c r="B2" s="2" t="inlineStr">
        <is>
          <t>值</t>
        </is>
      </c>
      <c r="C2" s="2" t="inlineStr">
        <is>
          <t>單位</t>
        </is>
      </c>
      <c r="D2" s="2" t="inlineStr">
        <is>
          <t>說明 / 來源</t>
        </is>
      </c>
    </row>
    <row r="3">
      <c r="A3" t="inlineStr">
        <is>
          <t>FX_USD_TWD</t>
        </is>
      </c>
      <c r="B3" s="3" t="n">
        <v>32</v>
      </c>
      <c r="C3" t="inlineStr">
        <is>
          <t>NT$/US$</t>
        </is>
      </c>
      <c r="D3" s="4" t="inlineStr">
        <is>
          <t>匯率假設</t>
        </is>
      </c>
    </row>
    <row r="4">
      <c r="A4" t="inlineStr">
        <is>
          <t>msgs_current</t>
        </is>
      </c>
      <c r="B4" s="3" t="n">
        <v>1000</v>
      </c>
      <c r="C4" t="inlineStr">
        <is>
          <t>則/月</t>
        </is>
      </c>
      <c r="D4" s="4" t="inlineStr">
        <is>
          <t>目前流量上限（使用者：每月 &lt; 1,000）</t>
        </is>
      </c>
    </row>
    <row r="5">
      <c r="A5" t="inlineStr">
        <is>
          <t>hit_L1</t>
        </is>
      </c>
      <c r="B5" s="5" t="n">
        <v>0.3</v>
      </c>
      <c r="C5" t="inlineStr">
        <is>
          <t>%</t>
        </is>
      </c>
      <c r="D5" s="4" t="inlineStr">
        <is>
          <t>Postback / 圖文選單命中率（可調）</t>
        </is>
      </c>
    </row>
    <row r="6">
      <c r="A6" t="inlineStr">
        <is>
          <t>hit_L2</t>
        </is>
      </c>
      <c r="B6" s="5" t="n">
        <v>0.25</v>
      </c>
      <c r="C6" t="inlineStr">
        <is>
          <t>%</t>
        </is>
      </c>
      <c r="D6" s="4" t="inlineStr">
        <is>
          <t>Keyword / Regex / Rule 命中率</t>
        </is>
      </c>
    </row>
    <row r="7">
      <c r="A7" t="inlineStr">
        <is>
          <t>hit_L3</t>
        </is>
      </c>
      <c r="B7" s="5" t="n">
        <v>0.2</v>
      </c>
      <c r="C7" t="inlineStr">
        <is>
          <t>%</t>
        </is>
      </c>
      <c r="D7" s="4" t="inlineStr">
        <is>
          <t>Semantic FAQ 直接回答命中率</t>
        </is>
      </c>
    </row>
    <row r="8">
      <c r="A8" t="inlineStr">
        <is>
          <t>hit_L4</t>
        </is>
      </c>
      <c r="B8" s="5" t="n">
        <v>0.2</v>
      </c>
      <c r="C8" t="inlineStr">
        <is>
          <t>%</t>
        </is>
      </c>
      <c r="D8" s="4" t="inlineStr">
        <is>
          <t>Cheap LLM 解決比例</t>
        </is>
      </c>
    </row>
    <row r="9">
      <c r="A9" t="inlineStr">
        <is>
          <t>hit_L5</t>
        </is>
      </c>
      <c r="B9" s="5" t="n">
        <v>0.05</v>
      </c>
      <c r="C9" t="inlineStr">
        <is>
          <t>%</t>
        </is>
      </c>
      <c r="D9" s="4" t="inlineStr">
        <is>
          <t>升級到 Advanced / 真人 的比例（最大槓桿）</t>
        </is>
      </c>
    </row>
    <row r="10">
      <c r="A10" t="inlineStr">
        <is>
          <t>CHECK_hit_sum</t>
        </is>
      </c>
      <c r="B10">
        <f>IF(ABS(SUM(B5:B9)-1)&gt;0.001,"hit rates ≠ 100%","OK")</f>
        <v/>
      </c>
      <c r="C10" t="inlineStr"/>
      <c r="D10" s="4" t="inlineStr">
        <is>
          <t>五層命中率必須合計 100%</t>
        </is>
      </c>
    </row>
    <row r="11">
      <c r="A11" s="6" t="inlineStr">
        <is>
          <t>—— Tokens / 則 ——</t>
        </is>
      </c>
      <c r="C11" t="inlineStr"/>
      <c r="D11" s="4" t="inlineStr"/>
    </row>
    <row r="12">
      <c r="A12" t="inlineStr">
        <is>
          <t>emb_tokens</t>
        </is>
      </c>
      <c r="B12" s="3" t="n">
        <v>60</v>
      </c>
      <c r="C12" t="inlineStr">
        <is>
          <t>tokens</t>
        </is>
      </c>
      <c r="D12" s="4" t="inlineStr">
        <is>
          <t>中文 LINE 訊息平均 20–40 字 → embedding tokens</t>
        </is>
      </c>
    </row>
    <row r="13">
      <c r="A13" t="inlineStr">
        <is>
          <t>L4_sys_tokens</t>
        </is>
      </c>
      <c r="B13" s="3" t="n">
        <v>400</v>
      </c>
      <c r="C13" t="inlineStr">
        <is>
          <t>tokens</t>
        </is>
      </c>
      <c r="D13" s="4" t="inlineStr">
        <is>
          <t>L4 system prompt（品牌、範圍限制、JSON 格式）</t>
        </is>
      </c>
    </row>
    <row r="14">
      <c r="A14" t="inlineStr">
        <is>
          <t>L4_rag_tokens</t>
        </is>
      </c>
      <c r="B14" s="3" t="n">
        <v>1200</v>
      </c>
      <c r="C14" t="inlineStr">
        <is>
          <t>tokens</t>
        </is>
      </c>
      <c r="D14" s="4" t="inlineStr">
        <is>
          <t>RAG 3 chunks × 400</t>
        </is>
      </c>
    </row>
    <row r="15">
      <c r="A15" t="inlineStr">
        <is>
          <t>L4_hist_tokens</t>
        </is>
      </c>
      <c r="B15" s="3" t="n">
        <v>300</v>
      </c>
      <c r="C15" t="inlineStr">
        <is>
          <t>tokens</t>
        </is>
      </c>
      <c r="D15" s="4" t="inlineStr">
        <is>
          <t>對話歷史 last-N</t>
        </is>
      </c>
    </row>
    <row r="16">
      <c r="A16" t="inlineStr">
        <is>
          <t>L4_user_tokens</t>
        </is>
      </c>
      <c r="B16" s="3" t="n">
        <v>60</v>
      </c>
      <c r="C16" t="inlineStr">
        <is>
          <t>tokens</t>
        </is>
      </c>
      <c r="D16" s="4" t="inlineStr">
        <is>
          <t>使用者訊息</t>
        </is>
      </c>
    </row>
    <row r="17">
      <c r="A17" t="inlineStr">
        <is>
          <t>L4_out_tokens</t>
        </is>
      </c>
      <c r="B17" s="3" t="n">
        <v>180</v>
      </c>
      <c r="C17" t="inlineStr">
        <is>
          <t>tokens</t>
        </is>
      </c>
      <c r="D17" s="4" t="inlineStr">
        <is>
          <t>LINE 回覆偏短</t>
        </is>
      </c>
    </row>
    <row r="18">
      <c r="A18" t="inlineStr">
        <is>
          <t>L5_in_tokens</t>
        </is>
      </c>
      <c r="B18" s="3" t="n">
        <v>2760</v>
      </c>
      <c r="C18" t="inlineStr">
        <is>
          <t>tokens</t>
        </is>
      </c>
      <c r="D18" s="4" t="inlineStr">
        <is>
          <t>system 600 + RAG 1,500 + history 600 + user 60</t>
        </is>
      </c>
    </row>
    <row r="19">
      <c r="A19" t="inlineStr">
        <is>
          <t>L5_out_tokens</t>
        </is>
      </c>
      <c r="B19" s="3" t="n">
        <v>350</v>
      </c>
      <c r="C19" t="inlineStr">
        <is>
          <t>tokens</t>
        </is>
      </c>
      <c r="D19" s="4" t="inlineStr">
        <is>
          <t>較長回覆 / 轉接摘要</t>
        </is>
      </c>
    </row>
    <row r="20">
      <c r="A20" s="6" t="inlineStr">
        <is>
          <t>—— 模型單價 US$ / 1M tokens ——</t>
        </is>
      </c>
      <c r="C20" t="inlineStr"/>
      <c r="D20" s="4" t="inlineStr"/>
    </row>
    <row r="21">
      <c r="A21" t="inlineStr">
        <is>
          <t>P_L4_in</t>
        </is>
      </c>
      <c r="B21" s="3" t="n">
        <v>0.25</v>
      </c>
      <c r="C21" t="inlineStr">
        <is>
          <t>US$/M</t>
        </is>
      </c>
      <c r="D21" s="4" t="inlineStr">
        <is>
          <t>Gemini 3.1 Flash-Lite input（2.5 Flash-Lite 2026-10 退役後）</t>
        </is>
      </c>
    </row>
    <row r="22">
      <c r="A22" t="inlineStr">
        <is>
          <t>P_L4_out</t>
        </is>
      </c>
      <c r="B22" s="3" t="n">
        <v>1.5</v>
      </c>
      <c r="C22" t="inlineStr">
        <is>
          <t>US$/M</t>
        </is>
      </c>
      <c r="D22" s="4" t="inlineStr">
        <is>
          <t>Gemini 3.1 Flash-Lite output</t>
        </is>
      </c>
    </row>
    <row r="23">
      <c r="A23" t="inlineStr">
        <is>
          <t>P_L5_in</t>
        </is>
      </c>
      <c r="B23" s="3" t="n">
        <v>1</v>
      </c>
      <c r="C23" t="inlineStr">
        <is>
          <t>US$/M</t>
        </is>
      </c>
      <c r="D23" s="4" t="inlineStr">
        <is>
          <t>Claude Haiku 4.5 input</t>
        </is>
      </c>
    </row>
    <row r="24">
      <c r="A24" t="inlineStr">
        <is>
          <t>P_L5_out</t>
        </is>
      </c>
      <c r="B24" s="3" t="n">
        <v>5</v>
      </c>
      <c r="C24" t="inlineStr">
        <is>
          <t>US$/M</t>
        </is>
      </c>
      <c r="D24" s="4" t="inlineStr">
        <is>
          <t>Claude Haiku 4.5 output</t>
        </is>
      </c>
    </row>
    <row r="25">
      <c r="A25" t="inlineStr">
        <is>
          <t>P_emb</t>
        </is>
      </c>
      <c r="B25" s="3" t="n">
        <v>0.02</v>
      </c>
      <c r="C25" t="inlineStr">
        <is>
          <t>US$/M</t>
        </is>
      </c>
      <c r="D25" s="4" t="inlineStr">
        <is>
          <t>text-embedding-3-small（gemini-embedding-001 = 0.15）</t>
        </is>
      </c>
    </row>
    <row r="26">
      <c r="A26" t="inlineStr">
        <is>
          <t>cache_hit_L5</t>
        </is>
      </c>
      <c r="B26" s="5" t="n">
        <v>0</v>
      </c>
      <c r="C26" t="inlineStr">
        <is>
          <t>%</t>
        </is>
      </c>
      <c r="D26" s="4" t="inlineStr">
        <is>
          <t>L5 prompt cache 命中率（預設 0 = 保守）</t>
        </is>
      </c>
    </row>
    <row r="27">
      <c r="A27" t="inlineStr">
        <is>
          <t>cache_discount</t>
        </is>
      </c>
      <c r="B27" s="5" t="n">
        <v>0.9</v>
      </c>
      <c r="C27" t="inlineStr">
        <is>
          <t>%</t>
        </is>
      </c>
      <c r="D27" s="4" t="inlineStr">
        <is>
          <t>cache 命中的 input 折扣</t>
        </is>
      </c>
    </row>
    <row r="28">
      <c r="A28" s="6" t="inlineStr">
        <is>
          <t>—— AWS 增量（免費額度視為已被平台用掉）——</t>
        </is>
      </c>
      <c r="C28" t="inlineStr"/>
      <c r="D28" s="4" t="inlineStr"/>
    </row>
    <row r="29">
      <c r="A29" t="inlineStr">
        <is>
          <t>RRU_per_M</t>
        </is>
      </c>
      <c r="B29" s="3" t="n">
        <v>0.125</v>
      </c>
      <c r="C29" t="inlineStr">
        <is>
          <t>US$/M</t>
        </is>
      </c>
      <c r="D29" s="4" t="inlineStr">
        <is>
          <t>DynamoDB on-demand read request unit</t>
        </is>
      </c>
    </row>
    <row r="30">
      <c r="A30" t="inlineStr">
        <is>
          <t>WRU_per_M</t>
        </is>
      </c>
      <c r="B30" s="3" t="n">
        <v>0.625</v>
      </c>
      <c r="C30" t="inlineStr">
        <is>
          <t>US$/M</t>
        </is>
      </c>
      <c r="D30" s="4" t="inlineStr">
        <is>
          <t>DynamoDB on-demand write request unit</t>
        </is>
      </c>
    </row>
    <row r="31">
      <c r="A31" t="inlineStr">
        <is>
          <t>Lambda_req_per_M</t>
        </is>
      </c>
      <c r="B31" s="3" t="n">
        <v>0.2</v>
      </c>
      <c r="C31" t="inlineStr">
        <is>
          <t>US$/M</t>
        </is>
      </c>
      <c r="D31" s="4" t="inlineStr">
        <is>
          <t>Amplify SSR 實際依 Lambda 計費模型</t>
        </is>
      </c>
    </row>
    <row r="32">
      <c r="A32" t="inlineStr">
        <is>
          <t>Lambda_GBs</t>
        </is>
      </c>
      <c r="B32" s="3" t="n">
        <v>1.66667e-05</v>
      </c>
      <c r="C32" t="inlineStr">
        <is>
          <t>US$/GB-s</t>
        </is>
      </c>
      <c r="D32" s="4" t="inlineStr">
        <is>
          <t>x86</t>
        </is>
      </c>
    </row>
    <row r="33">
      <c r="A33" t="inlineStr">
        <is>
          <t>Lambda_MB</t>
        </is>
      </c>
      <c r="B33" s="3" t="n">
        <v>512</v>
      </c>
      <c r="C33" t="inlineStr">
        <is>
          <t>MB</t>
        </is>
      </c>
      <c r="D33" s="4" t="inlineStr">
        <is>
          <t>SSR 函式記憶體</t>
        </is>
      </c>
    </row>
    <row r="34">
      <c r="A34" t="inlineStr">
        <is>
          <t>ms_L1</t>
        </is>
      </c>
      <c r="B34" s="3" t="n">
        <v>150</v>
      </c>
      <c r="C34" t="inlineStr">
        <is>
          <t>ms</t>
        </is>
      </c>
      <c r="D34" s="4" t="inlineStr">
        <is>
          <t>簽章 + 去重 + 查表 + log</t>
        </is>
      </c>
    </row>
    <row r="35">
      <c r="A35" t="inlineStr">
        <is>
          <t>ms_L3</t>
        </is>
      </c>
      <c r="B35" s="3" t="n">
        <v>500</v>
      </c>
      <c r="C35" t="inlineStr">
        <is>
          <t>ms</t>
        </is>
      </c>
      <c r="D35" s="4" t="inlineStr">
        <is>
          <t>embedding 呼叫 + 向量比對</t>
        </is>
      </c>
    </row>
    <row r="36">
      <c r="A36" t="inlineStr">
        <is>
          <t>ms_L4</t>
        </is>
      </c>
      <c r="B36" s="3" t="n">
        <v>3000</v>
      </c>
      <c r="C36" t="inlineStr">
        <is>
          <t>ms</t>
        </is>
      </c>
      <c r="D36" s="4" t="inlineStr">
        <is>
          <t>小模型回應等待</t>
        </is>
      </c>
    </row>
    <row r="37">
      <c r="A37" t="inlineStr">
        <is>
          <t>ms_L5</t>
        </is>
      </c>
      <c r="B37" s="3" t="n">
        <v>6000</v>
      </c>
      <c r="C37" t="inlineStr">
        <is>
          <t>ms</t>
        </is>
      </c>
      <c r="D37" s="4" t="inlineStr">
        <is>
          <t>高階模型回應等待</t>
        </is>
      </c>
    </row>
    <row r="38">
      <c r="A38" t="inlineStr">
        <is>
          <t>ledger_writes</t>
        </is>
      </c>
      <c r="B38" s="3" t="n">
        <v>4</v>
      </c>
      <c r="C38" t="inlineStr">
        <is>
          <t>WRU</t>
        </is>
      </c>
      <c r="D38" s="4" t="inlineStr">
        <is>
          <t>recordUsage = 1 Put + 3 rollup Update（無 orgId 時最小集合）</t>
        </is>
      </c>
    </row>
    <row r="39">
      <c r="A39" t="inlineStr">
        <is>
          <t>L1_WRU</t>
        </is>
      </c>
      <c r="B39" s="3" t="n">
        <v>2</v>
      </c>
      <c r="C39" t="inlineStr">
        <is>
          <t>WRU</t>
        </is>
      </c>
      <c r="D39" s="4" t="inlineStr">
        <is>
          <t>webhook-logs + dedupe 條件寫入</t>
        </is>
      </c>
    </row>
    <row r="40">
      <c r="A40" t="inlineStr">
        <is>
          <t>L1_RRU</t>
        </is>
      </c>
      <c r="B40" s="3" t="n">
        <v>1</v>
      </c>
      <c r="C40" t="inlineStr">
        <is>
          <t>RRU</t>
        </is>
      </c>
      <c r="D40" s="4" t="inlineStr">
        <is>
          <t>profile / session 讀取</t>
        </is>
      </c>
    </row>
    <row r="41">
      <c r="A41" s="6" t="inlineStr">
        <is>
          <t>—— RunPod Serverless（方案 B，取代 L4）——</t>
        </is>
      </c>
      <c r="C41" t="inlineStr"/>
      <c r="D41" s="4" t="inlineStr"/>
    </row>
    <row r="42">
      <c r="A42" t="inlineStr">
        <is>
          <t>rp_hr</t>
        </is>
      </c>
      <c r="B42" s="3" t="n">
        <v>0.6899999999999999</v>
      </c>
      <c r="C42" t="inlineStr">
        <is>
          <t>US$/hr</t>
        </is>
      </c>
      <c r="D42" s="4" t="inlineStr">
        <is>
          <t>24 GB flex worker（每秒計費）</t>
        </is>
      </c>
    </row>
    <row r="43">
      <c r="A43" t="inlineStr">
        <is>
          <t>t_active</t>
        </is>
      </c>
      <c r="B43" s="3" t="n">
        <v>2.5</v>
      </c>
      <c r="C43" t="inlineStr">
        <is>
          <t>s</t>
        </is>
      </c>
      <c r="D43" s="4" t="inlineStr">
        <is>
          <t>每請求 GPU 佔用秒數</t>
        </is>
      </c>
    </row>
    <row r="44">
      <c r="A44" t="inlineStr">
        <is>
          <t>t_cold</t>
        </is>
      </c>
      <c r="B44" s="3" t="n">
        <v>25</v>
      </c>
      <c r="C44" t="inlineStr">
        <is>
          <t>s</t>
        </is>
      </c>
      <c r="D44" s="4" t="inlineStr">
        <is>
          <t>冷啟動秒數（模型載入）</t>
        </is>
      </c>
    </row>
    <row r="45">
      <c r="A45" t="inlineStr">
        <is>
          <t>idle_timeout</t>
        </is>
      </c>
      <c r="B45" s="3" t="n">
        <v>5</v>
      </c>
      <c r="C45" t="inlineStr">
        <is>
          <t>s</t>
        </is>
      </c>
      <c r="D45" s="4" t="inlineStr">
        <is>
          <t>worker 閒置多久後釋放</t>
        </is>
      </c>
    </row>
    <row r="46">
      <c r="A46" t="inlineStr">
        <is>
          <t>active_discount</t>
        </is>
      </c>
      <c r="B46" s="5" t="n">
        <v>0.3</v>
      </c>
      <c r="C46" t="inlineStr">
        <is>
          <t>%</t>
        </is>
      </c>
      <c r="D46" s="4" t="inlineStr">
        <is>
          <t>always-on active worker 折扣</t>
        </is>
      </c>
    </row>
    <row r="47">
      <c r="A47" t="inlineStr">
        <is>
          <t>target_util</t>
        </is>
      </c>
      <c r="B47" s="5" t="n">
        <v>0.7</v>
      </c>
      <c r="C47" t="inlineStr">
        <is>
          <t>%</t>
        </is>
      </c>
      <c r="D47" s="4" t="inlineStr">
        <is>
          <t>擴容目標利用率</t>
        </is>
      </c>
    </row>
    <row r="48">
      <c r="A48" s="6" t="inlineStr">
        <is>
          <t>—— 自建 GPU（方案 C）——</t>
        </is>
      </c>
      <c r="C48" t="inlineStr"/>
      <c r="D48" s="4" t="inlineStr"/>
    </row>
    <row r="49">
      <c r="A49" t="inlineStr">
        <is>
          <t>box_cost</t>
        </is>
      </c>
      <c r="B49" s="3" t="n">
        <v>245000</v>
      </c>
      <c r="C49" t="inlineStr">
        <is>
          <t>NT$</t>
        </is>
      </c>
      <c r="D49" s="4" t="inlineStr">
        <is>
          <t>RTX 5090（NT$166k–200k）+ 主機/電源/機殼</t>
        </is>
      </c>
    </row>
    <row r="50">
      <c r="A50" t="inlineStr">
        <is>
          <t>dep_years</t>
        </is>
      </c>
      <c r="B50" s="3" t="n">
        <v>3</v>
      </c>
      <c r="C50" t="inlineStr">
        <is>
          <t>年</t>
        </is>
      </c>
      <c r="D50" s="4" t="inlineStr">
        <is>
          <t>折舊年限</t>
        </is>
      </c>
    </row>
    <row r="51">
      <c r="A51" t="inlineStr">
        <is>
          <t>idle_W</t>
        </is>
      </c>
      <c r="B51" s="3" t="n">
        <v>90</v>
      </c>
      <c r="C51" t="inlineStr">
        <is>
          <t>W</t>
        </is>
      </c>
      <c r="D51" s="4" t="inlineStr">
        <is>
          <t>整機待機功耗</t>
        </is>
      </c>
    </row>
    <row r="52">
      <c r="A52" t="inlineStr">
        <is>
          <t>load_W</t>
        </is>
      </c>
      <c r="B52" s="3" t="n">
        <v>575</v>
      </c>
      <c r="C52" t="inlineStr">
        <is>
          <t>W</t>
        </is>
      </c>
      <c r="D52" s="4" t="inlineStr">
        <is>
          <t>推論時整機功耗（≈ 5090 TGP）</t>
        </is>
      </c>
    </row>
    <row r="53">
      <c r="A53" t="inlineStr">
        <is>
          <t>kWh_price</t>
        </is>
      </c>
      <c r="B53" s="3" t="n">
        <v>4.5</v>
      </c>
      <c r="C53" t="inlineStr">
        <is>
          <t>NT$/度</t>
        </is>
      </c>
      <c r="D53" s="4" t="inlineStr">
        <is>
          <t>台電營業用電預設；尖峰可達 9.39</t>
        </is>
      </c>
    </row>
    <row r="54">
      <c r="A54" t="inlineStr">
        <is>
          <t>maint_hr</t>
        </is>
      </c>
      <c r="B54" s="3" t="n">
        <v>4</v>
      </c>
      <c r="C54" t="inlineStr">
        <is>
          <t>hr/月</t>
        </is>
      </c>
      <c r="D54" s="4" t="inlineStr">
        <is>
          <t>更新、監控、故障處理工時（設 0 = 自欺）</t>
        </is>
      </c>
    </row>
    <row r="55">
      <c r="A55" t="inlineStr">
        <is>
          <t>hourly_rate</t>
        </is>
      </c>
      <c r="B55" s="3" t="n">
        <v>1200</v>
      </c>
      <c r="C55" t="inlineStr">
        <is>
          <t>NT$/hr</t>
        </is>
      </c>
      <c r="D55" s="4" t="inlineStr">
        <is>
          <t>維護人員時薪</t>
        </is>
      </c>
    </row>
    <row r="56">
      <c r="A56" t="inlineStr">
        <is>
          <t>ups_cost</t>
        </is>
      </c>
      <c r="B56" s="3" t="n">
        <v>6000</v>
      </c>
      <c r="C56" t="inlineStr">
        <is>
          <t>NT$</t>
        </is>
      </c>
      <c r="D56" s="4" t="inlineStr">
        <is>
          <t>UPS / 備援（同折舊年限）</t>
        </is>
      </c>
    </row>
    <row r="57">
      <c r="A57" t="inlineStr">
        <is>
          <t>reserve_rate</t>
        </is>
      </c>
      <c r="B57" s="5" t="n">
        <v>0.1</v>
      </c>
      <c r="C57" t="inlineStr">
        <is>
          <t>%/年</t>
        </is>
      </c>
      <c r="D57" s="4" t="inlineStr">
        <is>
          <t>故障更換 + 升級準備金</t>
        </is>
      </c>
    </row>
    <row r="58">
      <c r="A58" s="6" t="inlineStr">
        <is>
          <t>—— LINE 官方帳號（台灣）——</t>
        </is>
      </c>
      <c r="C58" t="inlineStr"/>
      <c r="D58" s="4" t="inlineStr"/>
    </row>
    <row r="59">
      <c r="A59" t="inlineStr">
        <is>
          <t>push_per_month</t>
        </is>
      </c>
      <c r="B59" s="3" t="n">
        <v>0</v>
      </c>
      <c r="C59" t="inlineStr">
        <is>
          <t>則/月</t>
        </is>
      </c>
      <c r="D59" s="4" t="inlineStr">
        <is>
          <t>只有 Push/群發計費；Reply 與 1:1 免費</t>
        </is>
      </c>
    </row>
    <row r="60">
      <c r="A60" t="inlineStr">
        <is>
          <t>plan_fee</t>
        </is>
      </c>
      <c r="B60" s="3" t="n">
        <v>0</v>
      </c>
      <c r="C60" t="inlineStr">
        <is>
          <t>NT$/月</t>
        </is>
      </c>
      <c r="D60" s="4" t="inlineStr">
        <is>
          <t>輕用量 0 / 中用量 800 / 高用量 1,200</t>
        </is>
      </c>
    </row>
    <row r="61">
      <c r="A61" t="inlineStr">
        <is>
          <t>plan_quota</t>
        </is>
      </c>
      <c r="B61" s="3" t="n">
        <v>200</v>
      </c>
      <c r="C61" t="inlineStr">
        <is>
          <t>則/月</t>
        </is>
      </c>
      <c r="D61" s="4" t="inlineStr">
        <is>
          <t>輕用量 200 / 中 3,000 / 高 6,000</t>
        </is>
      </c>
    </row>
    <row r="62">
      <c r="A62" t="inlineStr">
        <is>
          <t>overage</t>
        </is>
      </c>
      <c r="B62" s="3" t="n">
        <v>0.2</v>
      </c>
      <c r="C62" t="inlineStr">
        <is>
          <t>NT$/則</t>
        </is>
      </c>
      <c r="D62" s="4" t="inlineStr">
        <is>
          <t>高用量超量單價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0" customWidth="1" min="4" max="4"/>
    <col width="14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每則訊息成本（US$）：inc = 該層新增；cum = 到該層為止累積；blended = Σ hit × cum</t>
        </is>
      </c>
    </row>
    <row r="2">
      <c r="A2" s="4" t="inlineStr">
        <is>
          <t>到 L5 的訊息已付 L1+L2+L3+L4；L2 在同一 request 內執行，增量 0</t>
        </is>
      </c>
    </row>
    <row r="3">
      <c r="A3" s="2" t="inlineStr">
        <is>
          <t>層</t>
        </is>
      </c>
      <c r="B3" s="2" t="inlineStr">
        <is>
          <t>inc (US$)</t>
        </is>
      </c>
      <c r="C3" s="2" t="inlineStr">
        <is>
          <t>cum (US$)</t>
        </is>
      </c>
      <c r="D3" s="2" t="inlineStr">
        <is>
          <t>命中率</t>
        </is>
      </c>
      <c r="E3" s="2" t="inlineStr">
        <is>
          <t>貢獻 (US$)</t>
        </is>
      </c>
      <c r="F3" s="2" t="inlineStr">
        <is>
          <t>inc µ$</t>
        </is>
      </c>
      <c r="G3" s="2" t="inlineStr">
        <is>
          <t>cum µ$</t>
        </is>
      </c>
      <c r="H3" s="2" t="inlineStr">
        <is>
          <t>說明</t>
        </is>
      </c>
    </row>
    <row r="4">
      <c r="A4" t="inlineStr">
        <is>
          <t>L1 Postback / 圖文選單</t>
        </is>
      </c>
      <c r="B4" s="7">
        <f>(Inputs!$B$39*Inputs!$B$30+Inputs!$B$40*Inputs!$B$29+Inputs!$B$31)/1000000+Inputs!$B$32*Inputs!$B$33/1024*Inputs!$B$34/1000</f>
        <v/>
      </c>
      <c r="C4" s="7">
        <f>B4</f>
        <v/>
      </c>
      <c r="D4" s="8">
        <f>Inputs!$B$5</f>
        <v/>
      </c>
      <c r="E4" s="7">
        <f>C4*D4</f>
        <v/>
      </c>
      <c r="F4" s="9">
        <f>B4*1000000</f>
        <v/>
      </c>
      <c r="G4" s="9">
        <f>C4*1000000</f>
        <v/>
      </c>
      <c r="H4" s="4" t="inlineStr">
        <is>
          <t>webhook log + dedupe 寫入、profile 讀取、Lambda 請求費 + 150ms</t>
        </is>
      </c>
    </row>
    <row r="5">
      <c r="A5" t="inlineStr">
        <is>
          <t>L2 Keyword / Regex / Rule</t>
        </is>
      </c>
      <c r="B5" s="7">
        <f>0</f>
        <v/>
      </c>
      <c r="C5" s="7">
        <f>C4+B5</f>
        <v/>
      </c>
      <c r="D5" s="8">
        <f>Inputs!$B$6</f>
        <v/>
      </c>
      <c r="E5" s="7">
        <f>C5*D5</f>
        <v/>
      </c>
      <c r="F5" s="9">
        <f>B5*1000000</f>
        <v/>
      </c>
      <c r="G5" s="9">
        <f>C5*1000000</f>
        <v/>
      </c>
      <c r="H5" s="4" t="inlineStr">
        <is>
          <t>同一 request 內的 regex；零增量</t>
        </is>
      </c>
    </row>
    <row r="6">
      <c r="A6" t="inlineStr">
        <is>
          <t>L3 Semantic FAQ</t>
        </is>
      </c>
      <c r="B6" s="7">
        <f>Inputs!$B$12*Inputs!$B$25/1000000+Inputs!$B$29/1000000+Inputs!$B$38*Inputs!$B$30/1000000+Inputs!$B$32*Inputs!$B$33/1024*Inputs!$B$35/1000</f>
        <v/>
      </c>
      <c r="C6" s="7">
        <f>C5+B6</f>
        <v/>
      </c>
      <c r="D6" s="8">
        <f>Inputs!$B$7</f>
        <v/>
      </c>
      <c r="E6" s="7">
        <f>C6*D6</f>
        <v/>
      </c>
      <c r="F6" s="9">
        <f>B6*1000000</f>
        <v/>
      </c>
      <c r="G6" s="9">
        <f>C6*1000000</f>
        <v/>
      </c>
      <c r="H6" s="4" t="inlineStr">
        <is>
          <t>embedding 呼叫 + 向量查詢 + ledger 4 寫 + 500ms</t>
        </is>
      </c>
    </row>
    <row r="7">
      <c r="A7" t="inlineStr">
        <is>
          <t>L4 Cheap LLM (RAG)</t>
        </is>
      </c>
      <c r="B7" s="7">
        <f>B12+Inputs!$B$38*Inputs!$B$30/1000000+Inputs!$B$32*Inputs!$B$33/1024*Inputs!$B$36/1000</f>
        <v/>
      </c>
      <c r="C7" s="7">
        <f>C6+B7</f>
        <v/>
      </c>
      <c r="D7" s="8">
        <f>Inputs!$B$8</f>
        <v/>
      </c>
      <c r="E7" s="7">
        <f>C7*D7</f>
        <v/>
      </c>
      <c r="F7" s="9">
        <f>B7*1000000</f>
        <v/>
      </c>
      <c r="G7" s="9">
        <f>C7*1000000</f>
        <v/>
      </c>
      <c r="H7" s="4" t="inlineStr">
        <is>
          <t>LLM-only 單價見 B12 + ledger + 3s</t>
        </is>
      </c>
    </row>
    <row r="8">
      <c r="A8" t="inlineStr">
        <is>
          <t>L5 Advanced / Fallback</t>
        </is>
      </c>
      <c r="B8" s="7">
        <f>B13+Inputs!$B$38*Inputs!$B$30/1000000+Inputs!$B$32*Inputs!$B$33/1024*Inputs!$B$37/1000</f>
        <v/>
      </c>
      <c r="C8" s="7">
        <f>C7+B8</f>
        <v/>
      </c>
      <c r="D8" s="8">
        <f>Inputs!$B$9</f>
        <v/>
      </c>
      <c r="E8" s="7">
        <f>C8*D8</f>
        <v/>
      </c>
      <c r="F8" s="9">
        <f>B8*1000000</f>
        <v/>
      </c>
      <c r="G8" s="9">
        <f>C8*1000000</f>
        <v/>
      </c>
      <c r="H8" s="4" t="inlineStr">
        <is>
          <t>LLM-only 單價見 B13 + ledger + 6s</t>
        </is>
      </c>
    </row>
    <row r="9">
      <c r="A9" s="6" t="inlineStr">
        <is>
          <t>blended / 則 (US$)</t>
        </is>
      </c>
      <c r="B9" s="7" t="n"/>
      <c r="C9" s="7" t="n"/>
      <c r="E9" s="7">
        <f>SUM(E4:E8)</f>
        <v/>
      </c>
      <c r="F9" s="9">
        <f>E9*1000000</f>
        <v/>
      </c>
      <c r="G9" s="10">
        <f>E9*Inputs!$B$3</f>
        <v/>
      </c>
      <c r="H9" s="4" t="inlineStr">
        <is>
          <t>E = US$，F = µ$（對齊 ledger micro-USD），G = NT$/則</t>
        </is>
      </c>
    </row>
    <row r="10">
      <c r="B10" s="7" t="n"/>
      <c r="C10" s="7" t="n"/>
      <c r="E10" s="7" t="n"/>
      <c r="F10" s="9" t="n"/>
      <c r="G10" s="9" t="n"/>
    </row>
    <row r="11">
      <c r="A11" s="6" t="inlineStr">
        <is>
          <t>LLM-only 單價（不含 AWS）</t>
        </is>
      </c>
      <c r="B11" s="7" t="n"/>
      <c r="C11" s="7" t="n"/>
      <c r="E11" s="7" t="n"/>
      <c r="F11" s="9" t="n"/>
      <c r="G11" s="9" t="n"/>
    </row>
    <row r="12">
      <c r="A12" t="inlineStr">
        <is>
          <t>unit_A4：L4 每請求 LLM 費 (US$)</t>
        </is>
      </c>
      <c r="B12" s="7">
        <f>((Inputs!$B$13+Inputs!$B$14+Inputs!$B$15+Inputs!$B$16)*Inputs!$B$21+Inputs!$B$17*Inputs!$B$22)/1000000</f>
        <v/>
      </c>
      <c r="C12" s="7" t="n"/>
      <c r="E12" s="7" t="n"/>
      <c r="F12" s="9" t="n"/>
      <c r="G12" s="9" t="n"/>
    </row>
    <row r="13">
      <c r="A13" t="inlineStr">
        <is>
          <t>unit_A5：L5 每請求 LLM 費 (US$)</t>
        </is>
      </c>
      <c r="B13" s="7">
        <f>(Inputs!$B$18*Inputs!$B$23*(1-Inputs!$B$26*Inputs!$B$27)+Inputs!$B$19*Inputs!$B$24)/1000000</f>
        <v/>
      </c>
      <c r="C13" s="7" t="n"/>
      <c r="E13" s="7" t="n"/>
      <c r="F13" s="9" t="n"/>
      <c r="G13" s="9" t="n"/>
    </row>
    <row r="14">
      <c r="A14" t="inlineStr">
        <is>
          <t>LLM 佔 blended 比例</t>
        </is>
      </c>
      <c r="B14" s="8">
        <f>(D7*B12+D8*(B12+B13))/E9</f>
        <v/>
      </c>
    </row>
    <row r="15">
      <c r="A15" t="inlineStr">
        <is>
          <t>L5 佔 blended 比例</t>
        </is>
      </c>
      <c r="B15" s="8">
        <f>E8/E9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月成本情境（US$ 除非標示）；A = 純雲 API，B = 雲 + RunPod 取代 L4，C = 雲 + 自建 GPU 取代 L4</t>
        </is>
      </c>
    </row>
    <row r="2">
      <c r="A2" s="4" t="inlineStr">
        <is>
          <t>B/C 只把 L4 LLM 移到 RunPod/本機，L1–L3 與 L5 仍在雲端：B/C 總成本 = A 總成本 − 雲端 L4 LLM(N4×unit_A4) + 替代成本</t>
        </is>
      </c>
    </row>
    <row r="3">
      <c r="A3" s="2" t="inlineStr">
        <is>
          <t>情境</t>
        </is>
      </c>
      <c r="B3" s="2" t="inlineStr">
        <is>
          <t>msgs/月</t>
        </is>
      </c>
      <c r="C3" s="2" t="inlineStr">
        <is>
          <t>N4 (到達 L4)</t>
        </is>
      </c>
      <c r="D3" s="2" t="inlineStr">
        <is>
          <t>N5 (到達 L5)</t>
        </is>
      </c>
      <c r="E3" s="2" t="inlineStr">
        <is>
          <t>A 總成本</t>
        </is>
      </c>
      <c r="F3" s="2" t="inlineStr">
        <is>
          <t>A NT$</t>
        </is>
      </c>
      <c r="G3" s="2" t="inlineStr">
        <is>
          <t>LINE 方案+推播 NT$</t>
        </is>
      </c>
      <c r="H3" s="2" t="inlineStr">
        <is>
          <t>B 總成本</t>
        </is>
      </c>
      <c r="I3" s="2" t="inlineStr">
        <is>
          <t>C 總成本</t>
        </is>
      </c>
      <c r="J3" s="2" t="inlineStr">
        <is>
          <t>最便宜</t>
        </is>
      </c>
    </row>
    <row r="4">
      <c r="A4" t="inlineStr">
        <is>
          <t>現況</t>
        </is>
      </c>
      <c r="B4">
        <f>Inputs!$B$4</f>
        <v/>
      </c>
      <c r="C4" s="11">
        <f>B4*(Inputs!$B$8+Inputs!$B$9)</f>
        <v/>
      </c>
      <c r="D4" s="11">
        <f>B4*Inputs!$B$9</f>
        <v/>
      </c>
      <c r="E4" s="12">
        <f>B4*LayerCost!$E$9</f>
        <v/>
      </c>
      <c r="F4" s="11">
        <f>E4*Inputs!$B$3</f>
        <v/>
      </c>
      <c r="G4" s="11">
        <f>Inputs!$B$60+MAX(0,Inputs!$B$59-Inputs!$B$61)*Inputs!$B$62</f>
        <v/>
      </c>
      <c r="H4" s="12">
        <f>E4-C4*LayerCost!$B$12+'TCO-RunPod'!J4</f>
        <v/>
      </c>
      <c r="I4" s="12">
        <f>E4-C4*LayerCost!$B$12+'TCO-Local'!H14</f>
        <v/>
      </c>
      <c r="J4">
        <f>IF(E4&lt;=MIN(H4,I4),"A",IF(H4&lt;=I4,"B","C"))</f>
        <v/>
      </c>
    </row>
    <row r="5">
      <c r="A5" t="inlineStr">
        <is>
          <t>1k</t>
        </is>
      </c>
      <c r="B5" t="n">
        <v>1000</v>
      </c>
      <c r="C5" s="11">
        <f>B5*(Inputs!$B$8+Inputs!$B$9)</f>
        <v/>
      </c>
      <c r="D5" s="11">
        <f>B5*Inputs!$B$9</f>
        <v/>
      </c>
      <c r="E5" s="12">
        <f>B5*LayerCost!$E$9</f>
        <v/>
      </c>
      <c r="F5" s="11">
        <f>E5*Inputs!$B$3</f>
        <v/>
      </c>
      <c r="G5" s="11">
        <f>Inputs!$B$60+MAX(0,Inputs!$B$59-Inputs!$B$61)*Inputs!$B$62</f>
        <v/>
      </c>
      <c r="H5" s="12">
        <f>E5-C5*LayerCost!$B$12+'TCO-RunPod'!J5</f>
        <v/>
      </c>
      <c r="I5" s="12">
        <f>E5-C5*LayerCost!$B$12+'TCO-Local'!H15</f>
        <v/>
      </c>
      <c r="J5">
        <f>IF(E5&lt;=MIN(H5,I5),"A",IF(H5&lt;=I5,"B","C"))</f>
        <v/>
      </c>
    </row>
    <row r="6">
      <c r="A6" t="inlineStr">
        <is>
          <t>10k</t>
        </is>
      </c>
      <c r="B6" t="n">
        <v>10000</v>
      </c>
      <c r="C6" s="11">
        <f>B6*(Inputs!$B$8+Inputs!$B$9)</f>
        <v/>
      </c>
      <c r="D6" s="11">
        <f>B6*Inputs!$B$9</f>
        <v/>
      </c>
      <c r="E6" s="12">
        <f>B6*LayerCost!$E$9</f>
        <v/>
      </c>
      <c r="F6" s="11">
        <f>E6*Inputs!$B$3</f>
        <v/>
      </c>
      <c r="G6" s="11">
        <f>Inputs!$B$60+MAX(0,Inputs!$B$59-Inputs!$B$61)*Inputs!$B$62</f>
        <v/>
      </c>
      <c r="H6" s="12">
        <f>E6-C6*LayerCost!$B$12+'TCO-RunPod'!J6</f>
        <v/>
      </c>
      <c r="I6" s="12">
        <f>E6-C6*LayerCost!$B$12+'TCO-Local'!H16</f>
        <v/>
      </c>
      <c r="J6">
        <f>IF(E6&lt;=MIN(H6,I6),"A",IF(H6&lt;=I6,"B","C"))</f>
        <v/>
      </c>
    </row>
    <row r="7">
      <c r="A7" t="inlineStr">
        <is>
          <t>100k</t>
        </is>
      </c>
      <c r="B7" t="n">
        <v>100000</v>
      </c>
      <c r="C7" s="11">
        <f>B7*(Inputs!$B$8+Inputs!$B$9)</f>
        <v/>
      </c>
      <c r="D7" s="11">
        <f>B7*Inputs!$B$9</f>
        <v/>
      </c>
      <c r="E7" s="12">
        <f>B7*LayerCost!$E$9</f>
        <v/>
      </c>
      <c r="F7" s="11">
        <f>E7*Inputs!$B$3</f>
        <v/>
      </c>
      <c r="G7" s="11">
        <f>Inputs!$B$60+MAX(0,Inputs!$B$59-Inputs!$B$61)*Inputs!$B$62</f>
        <v/>
      </c>
      <c r="H7" s="12">
        <f>E7-C7*LayerCost!$B$12+'TCO-RunPod'!J7</f>
        <v/>
      </c>
      <c r="I7" s="12">
        <f>E7-C7*LayerCost!$B$12+'TCO-Local'!H17</f>
        <v/>
      </c>
      <c r="J7">
        <f>IF(E7&lt;=MIN(H7,I7),"A",IF(H7&lt;=I7,"B","C"))</f>
        <v/>
      </c>
    </row>
    <row r="8">
      <c r="A8" t="inlineStr">
        <is>
          <t>1M</t>
        </is>
      </c>
      <c r="B8" t="n">
        <v>1000000</v>
      </c>
      <c r="C8" s="11">
        <f>B8*(Inputs!$B$8+Inputs!$B$9)</f>
        <v/>
      </c>
      <c r="D8" s="11">
        <f>B8*Inputs!$B$9</f>
        <v/>
      </c>
      <c r="E8" s="12">
        <f>B8*LayerCost!$E$9</f>
        <v/>
      </c>
      <c r="F8" s="11">
        <f>E8*Inputs!$B$3</f>
        <v/>
      </c>
      <c r="G8" s="11">
        <f>Inputs!$B$60+MAX(0,Inputs!$B$59-Inputs!$B$61)*Inputs!$B$62</f>
        <v/>
      </c>
      <c r="H8" s="12">
        <f>E8-C8*LayerCost!$B$12+'TCO-RunPod'!J8</f>
        <v/>
      </c>
      <c r="I8" s="12">
        <f>E8-C8*LayerCost!$B$12+'TCO-Local'!H18</f>
        <v/>
      </c>
      <c r="J8">
        <f>IF(E8&lt;=MIN(H8,I8),"A",IF(H8&lt;=I8,"B","C"))</f>
        <v/>
      </c>
    </row>
    <row r="10">
      <c r="A10" s="4" t="inlineStr">
        <is>
          <t>註：LINE 方案費用與 AI 方案無關（Reply 免費），單獨列出以免混入 A/B/C 比較。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14" customWidth="1" min="7" max="7"/>
    <col width="18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方案 B：RunPod Serverless 取代 L4（L3 embedding 與 L5 留雲端）</t>
        </is>
      </c>
    </row>
    <row r="2">
      <c r="A2" s="4" t="inlineStr">
        <is>
          <t>p_cold = EXP(−λ·idle)：上一請求後 idle_timeout 秒內無新請求即冷啟；flex 與 always-on 並列取 MIN</t>
        </is>
      </c>
    </row>
    <row r="3">
      <c r="A3" s="2" t="inlineStr">
        <is>
          <t>情境</t>
        </is>
      </c>
      <c r="B3" s="2" t="inlineStr">
        <is>
          <t>msgs/月</t>
        </is>
      </c>
      <c r="C3" s="2" t="inlineStr">
        <is>
          <t>N4</t>
        </is>
      </c>
      <c r="D3" s="2" t="inlineStr">
        <is>
          <t>λ (req/s)</t>
        </is>
      </c>
      <c r="E3" s="2" t="inlineStr">
        <is>
          <t>p_cold</t>
        </is>
      </c>
      <c r="F3" s="2" t="inlineStr">
        <is>
          <t>每請求 US$</t>
        </is>
      </c>
      <c r="G3" s="2" t="inlineStr">
        <is>
          <t>flex 月費</t>
        </is>
      </c>
      <c r="H3" s="2" t="inlineStr">
        <is>
          <t>always-on / worker</t>
        </is>
      </c>
      <c r="I3" s="2" t="inlineStr">
        <is>
          <t>所需 worker</t>
        </is>
      </c>
      <c r="J3" s="2" t="inlineStr">
        <is>
          <t>B 總成本</t>
        </is>
      </c>
      <c r="K3" s="2" t="inlineStr">
        <is>
          <t>A 的 L4 LLM 費</t>
        </is>
      </c>
    </row>
    <row r="4">
      <c r="A4">
        <f>Scenarios!A4</f>
        <v/>
      </c>
      <c r="B4" s="11">
        <f>Scenarios!B4</f>
        <v/>
      </c>
      <c r="C4" s="11">
        <f>Scenarios!C4</f>
        <v/>
      </c>
      <c r="D4" s="7">
        <f>C4/(30*86400)</f>
        <v/>
      </c>
      <c r="E4" s="13">
        <f>EXP(-D4*Inputs!$B$45)</f>
        <v/>
      </c>
      <c r="F4" s="7">
        <f>(Inputs!$B$43+E4*(Inputs!$B$44+Inputs!$B$45))*Inputs!$B$42/3600</f>
        <v/>
      </c>
      <c r="G4" s="12">
        <f>C4*F4</f>
        <v/>
      </c>
      <c r="H4" s="12">
        <f>Inputs!$B$42*730*(1-Inputs!$B$46)</f>
        <v/>
      </c>
      <c r="I4">
        <f>MAX(1,ROUNDUP(C4*Inputs!$B$43/3600/730/Inputs!$B$47,0))</f>
        <v/>
      </c>
      <c r="J4" s="12">
        <f>MIN(G4,H4*I4)</f>
        <v/>
      </c>
      <c r="K4" s="12">
        <f>C4*LayerCost!$B$12</f>
        <v/>
      </c>
    </row>
    <row r="5">
      <c r="A5">
        <f>Scenarios!A5</f>
        <v/>
      </c>
      <c r="B5" s="11">
        <f>Scenarios!B5</f>
        <v/>
      </c>
      <c r="C5" s="11">
        <f>Scenarios!C5</f>
        <v/>
      </c>
      <c r="D5" s="7">
        <f>C5/(30*86400)</f>
        <v/>
      </c>
      <c r="E5" s="13">
        <f>EXP(-D5*Inputs!$B$45)</f>
        <v/>
      </c>
      <c r="F5" s="7">
        <f>(Inputs!$B$43+E5*(Inputs!$B$44+Inputs!$B$45))*Inputs!$B$42/3600</f>
        <v/>
      </c>
      <c r="G5" s="12">
        <f>C5*F5</f>
        <v/>
      </c>
      <c r="H5" s="12">
        <f>Inputs!$B$42*730*(1-Inputs!$B$46)</f>
        <v/>
      </c>
      <c r="I5">
        <f>MAX(1,ROUNDUP(C5*Inputs!$B$43/3600/730/Inputs!$B$47,0))</f>
        <v/>
      </c>
      <c r="J5" s="12">
        <f>MIN(G5,H5*I5)</f>
        <v/>
      </c>
      <c r="K5" s="12">
        <f>C5*LayerCost!$B$12</f>
        <v/>
      </c>
    </row>
    <row r="6">
      <c r="A6">
        <f>Scenarios!A6</f>
        <v/>
      </c>
      <c r="B6" s="11">
        <f>Scenarios!B6</f>
        <v/>
      </c>
      <c r="C6" s="11">
        <f>Scenarios!C6</f>
        <v/>
      </c>
      <c r="D6" s="7">
        <f>C6/(30*86400)</f>
        <v/>
      </c>
      <c r="E6" s="13">
        <f>EXP(-D6*Inputs!$B$45)</f>
        <v/>
      </c>
      <c r="F6" s="7">
        <f>(Inputs!$B$43+E6*(Inputs!$B$44+Inputs!$B$45))*Inputs!$B$42/3600</f>
        <v/>
      </c>
      <c r="G6" s="12">
        <f>C6*F6</f>
        <v/>
      </c>
      <c r="H6" s="12">
        <f>Inputs!$B$42*730*(1-Inputs!$B$46)</f>
        <v/>
      </c>
      <c r="I6">
        <f>MAX(1,ROUNDUP(C6*Inputs!$B$43/3600/730/Inputs!$B$47,0))</f>
        <v/>
      </c>
      <c r="J6" s="12">
        <f>MIN(G6,H6*I6)</f>
        <v/>
      </c>
      <c r="K6" s="12">
        <f>C6*LayerCost!$B$12</f>
        <v/>
      </c>
    </row>
    <row r="7">
      <c r="A7">
        <f>Scenarios!A7</f>
        <v/>
      </c>
      <c r="B7" s="11">
        <f>Scenarios!B7</f>
        <v/>
      </c>
      <c r="C7" s="11">
        <f>Scenarios!C7</f>
        <v/>
      </c>
      <c r="D7" s="7">
        <f>C7/(30*86400)</f>
        <v/>
      </c>
      <c r="E7" s="13">
        <f>EXP(-D7*Inputs!$B$45)</f>
        <v/>
      </c>
      <c r="F7" s="7">
        <f>(Inputs!$B$43+E7*(Inputs!$B$44+Inputs!$B$45))*Inputs!$B$42/3600</f>
        <v/>
      </c>
      <c r="G7" s="12">
        <f>C7*F7</f>
        <v/>
      </c>
      <c r="H7" s="12">
        <f>Inputs!$B$42*730*(1-Inputs!$B$46)</f>
        <v/>
      </c>
      <c r="I7">
        <f>MAX(1,ROUNDUP(C7*Inputs!$B$43/3600/730/Inputs!$B$47,0))</f>
        <v/>
      </c>
      <c r="J7" s="12">
        <f>MIN(G7,H7*I7)</f>
        <v/>
      </c>
      <c r="K7" s="12">
        <f>C7*LayerCost!$B$12</f>
        <v/>
      </c>
    </row>
    <row r="8">
      <c r="A8">
        <f>Scenarios!A8</f>
        <v/>
      </c>
      <c r="B8" s="11">
        <f>Scenarios!B8</f>
        <v/>
      </c>
      <c r="C8" s="11">
        <f>Scenarios!C8</f>
        <v/>
      </c>
      <c r="D8" s="7">
        <f>C8/(30*86400)</f>
        <v/>
      </c>
      <c r="E8" s="13">
        <f>EXP(-D8*Inputs!$B$45)</f>
        <v/>
      </c>
      <c r="F8" s="7">
        <f>(Inputs!$B$43+E8*(Inputs!$B$44+Inputs!$B$45))*Inputs!$B$42/3600</f>
        <v/>
      </c>
      <c r="G8" s="12">
        <f>C8*F8</f>
        <v/>
      </c>
      <c r="H8" s="12">
        <f>Inputs!$B$42*730*(1-Inputs!$B$46)</f>
        <v/>
      </c>
      <c r="I8">
        <f>MAX(1,ROUNDUP(C8*Inputs!$B$43/3600/730/Inputs!$B$47,0))</f>
        <v/>
      </c>
      <c r="J8" s="12">
        <f>MIN(G8,H8*I8)</f>
        <v/>
      </c>
      <c r="K8" s="12">
        <f>C8*LayerCost!$B$12</f>
        <v/>
      </c>
    </row>
    <row r="10">
      <c r="A10" s="4" t="inlineStr">
        <is>
          <t>隱藏成本（未計入）：冷啟 25s 期間使用者無回應（需先 reply 佔位再 push，push 吃 LINE 配額）；模型鏡像儲存；無 SLA。</t>
        </is>
      </c>
    </row>
    <row r="11">
      <c r="A11" s="4" t="inlineStr">
        <is>
          <t>理論下限（100% warm）= t_active × $/s；與雲端 unit_A4 比：</t>
        </is>
      </c>
    </row>
    <row r="12">
      <c r="A12" t="inlineStr">
        <is>
          <t>warm 每請求 US$</t>
        </is>
      </c>
      <c r="B12" s="7">
        <f>Inputs!$B$43*Inputs!$B$42/3600</f>
        <v/>
      </c>
    </row>
    <row r="13">
      <c r="A13" t="inlineStr">
        <is>
          <t>warm / unit_A4（&lt;1 才可能省）</t>
        </is>
      </c>
      <c r="B13" s="14">
        <f>B12/LayerCost!$B$12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6" customWidth="1" min="9" max="9"/>
  </cols>
  <sheetData>
    <row r="1">
      <c r="A1" s="1" t="inlineStr">
        <is>
          <t>方案 C：自建 RTX 5090 級主機取代 L4（單機、無 HA；故障期間 L4 全部 fallback 到雲端）</t>
        </is>
      </c>
    </row>
    <row r="3">
      <c r="A3" s="2" t="inlineStr">
        <is>
          <t>固定成本項 (NT$/月)</t>
        </is>
      </c>
      <c r="B3" s="2" t="inlineStr">
        <is>
          <t>值</t>
        </is>
      </c>
      <c r="C3" s="2" t="inlineStr">
        <is>
          <t>公式</t>
        </is>
      </c>
    </row>
    <row r="4">
      <c r="A4" t="inlineStr">
        <is>
          <t>設備折舊</t>
        </is>
      </c>
      <c r="B4" s="11">
        <f>Inputs!$B$49/(Inputs!$B$50*12)</f>
        <v/>
      </c>
      <c r="C4" s="4" t="inlineStr">
        <is>
          <t>box_cost / (年 × 12)</t>
        </is>
      </c>
    </row>
    <row r="5">
      <c r="A5" t="inlineStr">
        <is>
          <t>待機電費</t>
        </is>
      </c>
      <c r="B5" s="11">
        <f>Inputs!$B$51/1000*730*Inputs!$B$53</f>
        <v/>
      </c>
      <c r="C5" s="4" t="inlineStr">
        <is>
          <t>idle_W × 730h × 電價</t>
        </is>
      </c>
    </row>
    <row r="6">
      <c r="A6" t="inlineStr">
        <is>
          <t>維護工時</t>
        </is>
      </c>
      <c r="B6" s="11">
        <f>Inputs!$B$54*Inputs!$B$55</f>
        <v/>
      </c>
      <c r="C6" s="4" t="inlineStr">
        <is>
          <t>maint_hr × 時薪（最大單項）</t>
        </is>
      </c>
    </row>
    <row r="7">
      <c r="A7" t="inlineStr">
        <is>
          <t>UPS / 備援折舊</t>
        </is>
      </c>
      <c r="B7" s="11">
        <f>Inputs!$B$56/(Inputs!$B$50*12)</f>
        <v/>
      </c>
      <c r="C7" s="4" t="inlineStr"/>
    </row>
    <row r="8">
      <c r="A8" t="inlineStr">
        <is>
          <t>故障 / 升級準備金</t>
        </is>
      </c>
      <c r="B8" s="11">
        <f>Inputs!$B$49*Inputs!$B$57/12</f>
        <v/>
      </c>
      <c r="C8" s="4" t="inlineStr">
        <is>
          <t>box_cost × 年率 / 12</t>
        </is>
      </c>
    </row>
    <row r="9">
      <c r="A9" s="6" t="inlineStr">
        <is>
          <t>固定成本合計 NT$/月</t>
        </is>
      </c>
      <c r="B9" s="11">
        <f>SUM(B4:B8)</f>
        <v/>
      </c>
    </row>
    <row r="10">
      <c r="A10" s="6" t="inlineStr">
        <is>
          <t>固定成本合計 US$/月</t>
        </is>
      </c>
      <c r="B10" s="12">
        <f>B9/Inputs!$B$3</f>
        <v/>
      </c>
    </row>
    <row r="11">
      <c r="A11" t="inlineStr">
        <is>
          <t>維護工時占比</t>
        </is>
      </c>
      <c r="B11" s="8">
        <f>B6/B9</f>
        <v/>
      </c>
    </row>
    <row r="13">
      <c r="A13" s="2" t="inlineStr">
        <is>
          <t>情境</t>
        </is>
      </c>
      <c r="B13" s="2" t="inlineStr">
        <is>
          <t>msgs/月</t>
        </is>
      </c>
      <c r="C13" s="2" t="inlineStr">
        <is>
          <t>N4</t>
        </is>
      </c>
      <c r="D13" s="2" t="inlineStr">
        <is>
          <t>GPU 負載小時</t>
        </is>
      </c>
      <c r="E13" s="2" t="inlineStr">
        <is>
          <t>利用率</t>
        </is>
      </c>
      <c r="F13" s="2" t="inlineStr">
        <is>
          <t>負載電費 NT$</t>
        </is>
      </c>
      <c r="G13" s="2" t="inlineStr">
        <is>
          <t>所需 GPU 數</t>
        </is>
      </c>
      <c r="H13" s="2" t="inlineStr">
        <is>
          <t>C 總成本 US$</t>
        </is>
      </c>
      <c r="I13" s="2" t="inlineStr">
        <is>
          <t>A 的 L4 LLM 費</t>
        </is>
      </c>
    </row>
    <row r="14">
      <c r="A14">
        <f>Scenarios!A4</f>
        <v/>
      </c>
      <c r="B14" s="11">
        <f>Scenarios!B4</f>
        <v/>
      </c>
      <c r="C14" s="11">
        <f>Scenarios!C4</f>
        <v/>
      </c>
      <c r="D14" s="9">
        <f>C14*Inputs!$B$43/3600</f>
        <v/>
      </c>
      <c r="E14" s="8">
        <f>D14/730</f>
        <v/>
      </c>
      <c r="F14" s="11">
        <f>(Inputs!$B$52-Inputs!$B$51)/1000*D14*Inputs!$B$53</f>
        <v/>
      </c>
      <c r="G14">
        <f>MAX(1,ROUNDUP(E14/Inputs!$B$47,0))</f>
        <v/>
      </c>
      <c r="H14" s="12">
        <f>($B$9*G14+F14)/Inputs!$B$3</f>
        <v/>
      </c>
      <c r="I14" s="12">
        <f>C14*LayerCost!$B$12</f>
        <v/>
      </c>
    </row>
    <row r="15">
      <c r="A15">
        <f>Scenarios!A5</f>
        <v/>
      </c>
      <c r="B15" s="11">
        <f>Scenarios!B5</f>
        <v/>
      </c>
      <c r="C15" s="11">
        <f>Scenarios!C5</f>
        <v/>
      </c>
      <c r="D15" s="9">
        <f>C15*Inputs!$B$43/3600</f>
        <v/>
      </c>
      <c r="E15" s="8">
        <f>D15/730</f>
        <v/>
      </c>
      <c r="F15" s="11">
        <f>(Inputs!$B$52-Inputs!$B$51)/1000*D15*Inputs!$B$53</f>
        <v/>
      </c>
      <c r="G15">
        <f>MAX(1,ROUNDUP(E15/Inputs!$B$47,0))</f>
        <v/>
      </c>
      <c r="H15" s="12">
        <f>($B$9*G15+F15)/Inputs!$B$3</f>
        <v/>
      </c>
      <c r="I15" s="12">
        <f>C15*LayerCost!$B$12</f>
        <v/>
      </c>
    </row>
    <row r="16">
      <c r="A16">
        <f>Scenarios!A6</f>
        <v/>
      </c>
      <c r="B16" s="11">
        <f>Scenarios!B6</f>
        <v/>
      </c>
      <c r="C16" s="11">
        <f>Scenarios!C6</f>
        <v/>
      </c>
      <c r="D16" s="9">
        <f>C16*Inputs!$B$43/3600</f>
        <v/>
      </c>
      <c r="E16" s="8">
        <f>D16/730</f>
        <v/>
      </c>
      <c r="F16" s="11">
        <f>(Inputs!$B$52-Inputs!$B$51)/1000*D16*Inputs!$B$53</f>
        <v/>
      </c>
      <c r="G16">
        <f>MAX(1,ROUNDUP(E16/Inputs!$B$47,0))</f>
        <v/>
      </c>
      <c r="H16" s="12">
        <f>($B$9*G16+F16)/Inputs!$B$3</f>
        <v/>
      </c>
      <c r="I16" s="12">
        <f>C16*LayerCost!$B$12</f>
        <v/>
      </c>
    </row>
    <row r="17">
      <c r="A17">
        <f>Scenarios!A7</f>
        <v/>
      </c>
      <c r="B17" s="11">
        <f>Scenarios!B7</f>
        <v/>
      </c>
      <c r="C17" s="11">
        <f>Scenarios!C7</f>
        <v/>
      </c>
      <c r="D17" s="9">
        <f>C17*Inputs!$B$43/3600</f>
        <v/>
      </c>
      <c r="E17" s="8">
        <f>D17/730</f>
        <v/>
      </c>
      <c r="F17" s="11">
        <f>(Inputs!$B$52-Inputs!$B$51)/1000*D17*Inputs!$B$53</f>
        <v/>
      </c>
      <c r="G17">
        <f>MAX(1,ROUNDUP(E17/Inputs!$B$47,0))</f>
        <v/>
      </c>
      <c r="H17" s="12">
        <f>($B$9*G17+F17)/Inputs!$B$3</f>
        <v/>
      </c>
      <c r="I17" s="12">
        <f>C17*LayerCost!$B$12</f>
        <v/>
      </c>
    </row>
    <row r="18">
      <c r="A18">
        <f>Scenarios!A8</f>
        <v/>
      </c>
      <c r="B18" s="11">
        <f>Scenarios!B8</f>
        <v/>
      </c>
      <c r="C18" s="11">
        <f>Scenarios!C8</f>
        <v/>
      </c>
      <c r="D18" s="9">
        <f>C18*Inputs!$B$43/3600</f>
        <v/>
      </c>
      <c r="E18" s="8">
        <f>D18/730</f>
        <v/>
      </c>
      <c r="F18" s="11">
        <f>(Inputs!$B$52-Inputs!$B$51)/1000*D18*Inputs!$B$53</f>
        <v/>
      </c>
      <c r="G18">
        <f>MAX(1,ROUNDUP(E18/Inputs!$B$47,0))</f>
        <v/>
      </c>
      <c r="H18" s="12">
        <f>($B$9*G18+F18)/Inputs!$B$3</f>
        <v/>
      </c>
      <c r="I18" s="12">
        <f>C18*LayerCost!$B$12</f>
        <v/>
      </c>
    </row>
    <row r="20">
      <c r="A20" s="4" t="inlineStr">
        <is>
          <t>可用性：單機無 HA、家用電/網路中斷不在 UPS 涵蓋、折舊期內 GPU 跌價不退；必須同時維護雲端 fallback（gateway provider 抽象是唯一前提）。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損益兩平（閉式解，不需 goal seek）</t>
        </is>
      </c>
    </row>
    <row r="3">
      <c r="A3" t="inlineStr">
        <is>
          <t>unit_A4：雲端 L4 每請求 LLM 費 US$</t>
        </is>
      </c>
      <c r="B3" s="7">
        <f>LayerCost!$B$12</f>
        <v/>
      </c>
    </row>
    <row r="4">
      <c r="A4" t="inlineStr">
        <is>
          <t>share4 = hit_L4 + hit_L5</t>
        </is>
      </c>
      <c r="B4" s="8">
        <f>Inputs!$B$8+Inputs!$B$9</f>
        <v/>
      </c>
    </row>
    <row r="5">
      <c r="A5" t="inlineStr">
        <is>
          <t>自建每請求負載電費 US$</t>
        </is>
      </c>
      <c r="B5" s="7">
        <f>(Inputs!$B$52-Inputs!$B$51)/1000*Inputs!$B$43/3600*Inputs!$B$53/Inputs!$B$3</f>
        <v/>
      </c>
    </row>
    <row r="6">
      <c r="A6" t="inlineStr">
        <is>
          <t>C 勝 A：L4 請求數/月</t>
        </is>
      </c>
      <c r="B6" s="11">
        <f>'TCO-Local'!$B$10/(B3-B5)</f>
        <v/>
      </c>
    </row>
    <row r="7">
      <c r="A7" t="inlineStr">
        <is>
          <t>C 勝 A：msgs/月</t>
        </is>
      </c>
      <c r="B7" s="11">
        <f>B6/B4</f>
        <v/>
      </c>
    </row>
    <row r="8">
      <c r="A8" t="inlineStr">
        <is>
          <t>C 勝 A 時單卡利用率</t>
        </is>
      </c>
      <c r="B8" s="8">
        <f>B6*Inputs!$B$43/3600/730</f>
        <v/>
      </c>
    </row>
    <row r="9">
      <c r="A9" t="inlineStr">
        <is>
          <t>B(always-on) 勝 A：L4 請求數/月</t>
        </is>
      </c>
      <c r="B9" s="11">
        <f>Inputs!$B$42*730*(1-Inputs!$B$46)/B3</f>
        <v/>
      </c>
    </row>
    <row r="10">
      <c r="A10" t="inlineStr">
        <is>
          <t>B(always-on) 勝 A：msgs/月</t>
        </is>
      </c>
      <c r="B10" s="11">
        <f>B9/B4</f>
        <v/>
      </c>
    </row>
    <row r="11">
      <c r="A11" t="inlineStr">
        <is>
          <t>B flex 勝 A？</t>
        </is>
      </c>
      <c r="B11">
        <f>IF('TCO-RunPod'!$B$12&lt;B3,"僅在 100% warm 才可能","永不")</f>
        <v/>
      </c>
    </row>
    <row r="14">
      <c r="A14" s="6" t="inlineStr">
        <is>
          <t>2-D：C 勝 A 的 msgs/月 — 列 = L4 模型單價（in/out US$/M），欄 = tokens 倍率</t>
        </is>
      </c>
    </row>
    <row r="15">
      <c r="A15" s="2" t="inlineStr">
        <is>
          <t>L4 模型</t>
        </is>
      </c>
      <c r="B15" s="2" t="inlineStr">
        <is>
          <t>in</t>
        </is>
      </c>
      <c r="C15" s="2" t="inlineStr">
        <is>
          <t>out</t>
        </is>
      </c>
      <c r="D15" s="2" t="inlineStr">
        <is>
          <t>×1</t>
        </is>
      </c>
      <c r="E15" s="2" t="inlineStr">
        <is>
          <t>×2</t>
        </is>
      </c>
      <c r="F15" s="2" t="inlineStr">
        <is>
          <t>×3</t>
        </is>
      </c>
    </row>
    <row r="16">
      <c r="A16" t="inlineStr">
        <is>
          <t>Gemini 3.1 Flash-Lite</t>
        </is>
      </c>
      <c r="B16" s="15" t="n">
        <v>0.25</v>
      </c>
      <c r="C16" s="15" t="n">
        <v>1.5</v>
      </c>
      <c r="D16" s="11">
        <f>'TCO-Local'!$B$10/(((Inputs!$B$13+Inputs!$B$14+Inputs!$B$15+Inputs!$B$16)*$B16+Inputs!$B$17*$C16)/1000000*1-$B$5)/$B$4</f>
        <v/>
      </c>
      <c r="E16" s="11">
        <f>'TCO-Local'!$B$10/(((Inputs!$B$13+Inputs!$B$14+Inputs!$B$15+Inputs!$B$16)*$B16+Inputs!$B$17*$C16)/1000000*2-$B$5)/$B$4</f>
        <v/>
      </c>
      <c r="F16" s="11">
        <f>'TCO-Local'!$B$10/(((Inputs!$B$13+Inputs!$B$14+Inputs!$B$15+Inputs!$B$16)*$B16+Inputs!$B$17*$C16)/1000000*3-$B$5)/$B$4</f>
        <v/>
      </c>
    </row>
    <row r="17">
      <c r="A17" t="inlineStr">
        <is>
          <t>GPT-5.4 nano</t>
        </is>
      </c>
      <c r="B17" s="15" t="n">
        <v>0.2</v>
      </c>
      <c r="C17" s="15" t="n">
        <v>1.25</v>
      </c>
      <c r="D17" s="11">
        <f>'TCO-Local'!$B$10/(((Inputs!$B$13+Inputs!$B$14+Inputs!$B$15+Inputs!$B$16)*$B17+Inputs!$B$17*$C17)/1000000*1-$B$5)/$B$4</f>
        <v/>
      </c>
      <c r="E17" s="11">
        <f>'TCO-Local'!$B$10/(((Inputs!$B$13+Inputs!$B$14+Inputs!$B$15+Inputs!$B$16)*$B17+Inputs!$B$17*$C17)/1000000*2-$B$5)/$B$4</f>
        <v/>
      </c>
      <c r="F17" s="11">
        <f>'TCO-Local'!$B$10/(((Inputs!$B$13+Inputs!$B$14+Inputs!$B$15+Inputs!$B$16)*$B17+Inputs!$B$17*$C17)/1000000*3-$B$5)/$B$4</f>
        <v/>
      </c>
    </row>
    <row r="18">
      <c r="A18" t="inlineStr">
        <is>
          <t>GPT-5.4 mini</t>
        </is>
      </c>
      <c r="B18" s="15" t="n">
        <v>0.75</v>
      </c>
      <c r="C18" s="15" t="n">
        <v>4.5</v>
      </c>
      <c r="D18" s="11">
        <f>'TCO-Local'!$B$10/(((Inputs!$B$13+Inputs!$B$14+Inputs!$B$15+Inputs!$B$16)*$B18+Inputs!$B$17*$C18)/1000000*1-$B$5)/$B$4</f>
        <v/>
      </c>
      <c r="E18" s="11">
        <f>'TCO-Local'!$B$10/(((Inputs!$B$13+Inputs!$B$14+Inputs!$B$15+Inputs!$B$16)*$B18+Inputs!$B$17*$C18)/1000000*2-$B$5)/$B$4</f>
        <v/>
      </c>
      <c r="F18" s="11">
        <f>'TCO-Local'!$B$10/(((Inputs!$B$13+Inputs!$B$14+Inputs!$B$15+Inputs!$B$16)*$B18+Inputs!$B$17*$C18)/1000000*3-$B$5)/$B$4</f>
        <v/>
      </c>
    </row>
    <row r="19">
      <c r="A19" t="inlineStr">
        <is>
          <t>Claude Haiku 4.5</t>
        </is>
      </c>
      <c r="B19" s="15" t="n">
        <v>1</v>
      </c>
      <c r="C19" s="15" t="n">
        <v>5</v>
      </c>
      <c r="D19" s="11">
        <f>'TCO-Local'!$B$10/(((Inputs!$B$13+Inputs!$B$14+Inputs!$B$15+Inputs!$B$16)*$B19+Inputs!$B$17*$C19)/1000000*1-$B$5)/$B$4</f>
        <v/>
      </c>
      <c r="E19" s="11">
        <f>'TCO-Local'!$B$10/(((Inputs!$B$13+Inputs!$B$14+Inputs!$B$15+Inputs!$B$16)*$B19+Inputs!$B$17*$C19)/1000000*2-$B$5)/$B$4</f>
        <v/>
      </c>
      <c r="F19" s="11">
        <f>'TCO-Local'!$B$10/(((Inputs!$B$13+Inputs!$B$14+Inputs!$B$15+Inputs!$B$16)*$B19+Inputs!$B$17*$C19)/1000000*3-$B$5)/$B$4</f>
        <v/>
      </c>
    </row>
    <row r="21">
      <c r="A21" s="4" t="inlineStr">
        <is>
          <t>讀法：格內數字 = 每月訊息量門檻；低於此值留在雲端 A。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敏感度分析</t>
        </is>
      </c>
    </row>
    <row r="3">
      <c r="A3" s="6" t="inlineStr">
        <is>
          <t>表 1：命中率組合 → blended µ$/則 與 100k msgs 月費 US$</t>
        </is>
      </c>
    </row>
    <row r="4">
      <c r="A4" s="2" t="inlineStr">
        <is>
          <t>組合</t>
        </is>
      </c>
      <c r="B4" s="2" t="inlineStr">
        <is>
          <t>L1</t>
        </is>
      </c>
      <c r="C4" s="2" t="inlineStr">
        <is>
          <t>L2</t>
        </is>
      </c>
      <c r="D4" s="2" t="inlineStr">
        <is>
          <t>L3</t>
        </is>
      </c>
      <c r="E4" s="2" t="inlineStr">
        <is>
          <t>L4</t>
        </is>
      </c>
      <c r="F4" s="2" t="inlineStr">
        <is>
          <t>L5</t>
        </is>
      </c>
      <c r="G4" s="2" t="inlineStr">
        <is>
          <t>blended µ$</t>
        </is>
      </c>
      <c r="H4" s="2" t="inlineStr">
        <is>
          <t>100k 月費 US$</t>
        </is>
      </c>
    </row>
    <row r="5">
      <c r="A5" t="inlineStr">
        <is>
          <t>預設</t>
        </is>
      </c>
      <c r="B5" s="16">
        <f>Inputs!$B$5</f>
        <v/>
      </c>
      <c r="C5" s="16">
        <f>Inputs!$B$6</f>
        <v/>
      </c>
      <c r="D5" s="16">
        <f>Inputs!$B$7</f>
        <v/>
      </c>
      <c r="E5" s="16">
        <f>Inputs!$B$8</f>
        <v/>
      </c>
      <c r="F5" s="16">
        <f>Inputs!$B$9</f>
        <v/>
      </c>
      <c r="G5" s="9">
        <f>(B5*LayerCost!$C$4+C5*LayerCost!$C$5+D5*LayerCost!$C$6+E5*LayerCost!$C$7+F5*LayerCost!$C$8)*1000000</f>
        <v/>
      </c>
      <c r="H5" s="12">
        <f>G5/1000000*100000</f>
        <v/>
      </c>
    </row>
    <row r="6">
      <c r="A6" t="inlineStr">
        <is>
          <t>平均 20%</t>
        </is>
      </c>
      <c r="B6" s="17" t="n">
        <v>0.2</v>
      </c>
      <c r="C6" s="17" t="n">
        <v>0.2</v>
      </c>
      <c r="D6" s="17" t="n">
        <v>0.2</v>
      </c>
      <c r="E6" s="17" t="n">
        <v>0.2</v>
      </c>
      <c r="F6" s="17" t="n">
        <v>0.2</v>
      </c>
      <c r="G6" s="9">
        <f>(B6*LayerCost!$C$4+C6*LayerCost!$C$5+D6*LayerCost!$C$6+E6*LayerCost!$C$7+F6*LayerCost!$C$8)*1000000</f>
        <v/>
      </c>
      <c r="H6" s="12">
        <f>G6/1000000*100000</f>
        <v/>
      </c>
    </row>
    <row r="7">
      <c r="A7" t="inlineStr">
        <is>
          <t>悲觀 (規則層弱)</t>
        </is>
      </c>
      <c r="B7" s="17" t="n">
        <v>0.1</v>
      </c>
      <c r="C7" s="17" t="n">
        <v>0.1</v>
      </c>
      <c r="D7" s="17" t="n">
        <v>0.2</v>
      </c>
      <c r="E7" s="17" t="n">
        <v>0.4</v>
      </c>
      <c r="F7" s="17" t="n">
        <v>0.2</v>
      </c>
      <c r="G7" s="9">
        <f>(B7*LayerCost!$C$4+C7*LayerCost!$C$5+D7*LayerCost!$C$6+E7*LayerCost!$C$7+F7*LayerCost!$C$8)*1000000</f>
        <v/>
      </c>
      <c r="H7" s="12">
        <f>G7/1000000*100000</f>
        <v/>
      </c>
    </row>
    <row r="8">
      <c r="A8" t="inlineStr">
        <is>
          <t>樂觀 (規則層強)</t>
        </is>
      </c>
      <c r="B8" s="17" t="n">
        <v>0.4</v>
      </c>
      <c r="C8" s="17" t="n">
        <v>0.3</v>
      </c>
      <c r="D8" s="17" t="n">
        <v>0.2</v>
      </c>
      <c r="E8" s="17" t="n">
        <v>0.08</v>
      </c>
      <c r="F8" s="17" t="n">
        <v>0.02</v>
      </c>
      <c r="G8" s="9">
        <f>(B8*LayerCost!$C$4+C8*LayerCost!$C$5+D8*LayerCost!$C$6+E8*LayerCost!$C$7+F8*LayerCost!$C$8)*1000000</f>
        <v/>
      </c>
      <c r="H8" s="12">
        <f>G8/1000000*100000</f>
        <v/>
      </c>
    </row>
    <row r="11">
      <c r="A11" s="6" t="inlineStr">
        <is>
          <t>表 2：單一 knob 變動 → blended µ$/則（其餘維持 Inputs）</t>
        </is>
      </c>
    </row>
    <row r="12">
      <c r="A12" s="2" t="inlineStr">
        <is>
          <t>Knob</t>
        </is>
      </c>
      <c r="B12" s="2" t="inlineStr">
        <is>
          <t>−50%</t>
        </is>
      </c>
      <c r="C12" s="2" t="inlineStr">
        <is>
          <t>預設</t>
        </is>
      </c>
      <c r="D12" s="2" t="inlineStr">
        <is>
          <t>+100%</t>
        </is>
      </c>
      <c r="E12" s="2" t="inlineStr">
        <is>
          <t>說明</t>
        </is>
      </c>
    </row>
    <row r="13">
      <c r="A13" t="inlineStr">
        <is>
          <t>L5 命中率 (5% → 2.5% / 10%)</t>
        </is>
      </c>
      <c r="B13" s="9">
        <f>(Inputs!$B$5*LayerCost!$C$4+Inputs!$B$6*LayerCost!$C$5+Inputs!$B$7*LayerCost!$C$6+(Inputs!$B$8+Inputs!$B$9-Inputs!$B$9*0.5)*(LayerCost!$C$6+(((Inputs!$B$13+Inputs!$B$14+Inputs!$B$15+Inputs!$B$16)*Inputs!$B$21+Inputs!$B$17*Inputs!$B$22)*1/1000000+Inputs!$B$38*Inputs!$B$30/1000000+Inputs!$B$32*Inputs!$B$33/1024*Inputs!$B$36/1000))+Inputs!$B$9*0.5*(LayerCost!$C$6+(((Inputs!$B$13+Inputs!$B$14+Inputs!$B$15+Inputs!$B$16)*Inputs!$B$21+Inputs!$B$17*Inputs!$B$22)*1/1000000+Inputs!$B$38*Inputs!$B$30/1000000+Inputs!$B$32*Inputs!$B$33/1024*Inputs!$B$36/1000)+((Inputs!$B$18*Inputs!$B$23*(1-Inputs!$B$26*Inputs!$B$27)+Inputs!$B$19*Inputs!$B$24)*1/1000000+Inputs!$B$38*Inputs!$B$30/1000000+Inputs!$B$32*Inputs!$B$33/1024*Inputs!$B$37/1000)))*1000000</f>
        <v/>
      </c>
      <c r="C13" s="9">
        <f>(Inputs!$B$5*LayerCost!$C$4+Inputs!$B$6*LayerCost!$C$5+Inputs!$B$7*LayerCost!$C$6+(Inputs!$B$8+Inputs!$B$9-Inputs!$B$9)*(LayerCost!$C$6+(((Inputs!$B$13+Inputs!$B$14+Inputs!$B$15+Inputs!$B$16)*Inputs!$B$21+Inputs!$B$17*Inputs!$B$22)*1/1000000+Inputs!$B$38*Inputs!$B$30/1000000+Inputs!$B$32*Inputs!$B$33/1024*Inputs!$B$36/1000))+Inputs!$B$9*(LayerCost!$C$6+(((Inputs!$B$13+Inputs!$B$14+Inputs!$B$15+Inputs!$B$16)*Inputs!$B$21+Inputs!$B$17*Inputs!$B$22)*1/1000000+Inputs!$B$38*Inputs!$B$30/1000000+Inputs!$B$32*Inputs!$B$33/1024*Inputs!$B$36/1000)+((Inputs!$B$18*Inputs!$B$23*(1-Inputs!$B$26*Inputs!$B$27)+Inputs!$B$19*Inputs!$B$24)*1/1000000+Inputs!$B$38*Inputs!$B$30/1000000+Inputs!$B$32*Inputs!$B$33/1024*Inputs!$B$37/1000)))*1000000</f>
        <v/>
      </c>
      <c r="D13" s="9">
        <f>(Inputs!$B$5*LayerCost!$C$4+Inputs!$B$6*LayerCost!$C$5+Inputs!$B$7*LayerCost!$C$6+(Inputs!$B$8+Inputs!$B$9-Inputs!$B$9*2)*(LayerCost!$C$6+(((Inputs!$B$13+Inputs!$B$14+Inputs!$B$15+Inputs!$B$16)*Inputs!$B$21+Inputs!$B$17*Inputs!$B$22)*1/1000000+Inputs!$B$38*Inputs!$B$30/1000000+Inputs!$B$32*Inputs!$B$33/1024*Inputs!$B$36/1000))+Inputs!$B$9*2*(LayerCost!$C$6+(((Inputs!$B$13+Inputs!$B$14+Inputs!$B$15+Inputs!$B$16)*Inputs!$B$21+Inputs!$B$17*Inputs!$B$22)*1/1000000+Inputs!$B$38*Inputs!$B$30/1000000+Inputs!$B$32*Inputs!$B$33/1024*Inputs!$B$36/1000)+((Inputs!$B$18*Inputs!$B$23*(1-Inputs!$B$26*Inputs!$B$27)+Inputs!$B$19*Inputs!$B$24)*1/1000000+Inputs!$B$38*Inputs!$B$30/1000000+Inputs!$B$32*Inputs!$B$33/1024*Inputs!$B$37/1000)))*1000000</f>
        <v/>
      </c>
      <c r="E13" s="4" t="inlineStr">
        <is>
          <t>L4 吸收差額，總和仍 100%</t>
        </is>
      </c>
    </row>
    <row r="14">
      <c r="A14" t="inlineStr">
        <is>
          <t>L4 tokens/則</t>
        </is>
      </c>
      <c r="B14" s="9">
        <f>(Inputs!$B$5*LayerCost!$C$4+Inputs!$B$6*LayerCost!$C$5+Inputs!$B$7*LayerCost!$C$6+(Inputs!$B$8+Inputs!$B$9-Inputs!$B$9)*(LayerCost!$C$6+(((Inputs!$B$13+Inputs!$B$14+Inputs!$B$15+Inputs!$B$16)*Inputs!$B$21+Inputs!$B$17*Inputs!$B$22)*0.5/1000000+Inputs!$B$38*Inputs!$B$30/1000000+Inputs!$B$32*Inputs!$B$33/1024*Inputs!$B$36/1000))+Inputs!$B$9*(LayerCost!$C$6+(((Inputs!$B$13+Inputs!$B$14+Inputs!$B$15+Inputs!$B$16)*Inputs!$B$21+Inputs!$B$17*Inputs!$B$22)*0.5/1000000+Inputs!$B$38*Inputs!$B$30/1000000+Inputs!$B$32*Inputs!$B$33/1024*Inputs!$B$36/1000)+((Inputs!$B$18*Inputs!$B$23*(1-Inputs!$B$26*Inputs!$B$27)+Inputs!$B$19*Inputs!$B$24)*1/1000000+Inputs!$B$38*Inputs!$B$30/1000000+Inputs!$B$32*Inputs!$B$33/1024*Inputs!$B$37/1000)))*1000000</f>
        <v/>
      </c>
      <c r="C14" s="9">
        <f>(Inputs!$B$5*LayerCost!$C$4+Inputs!$B$6*LayerCost!$C$5+Inputs!$B$7*LayerCost!$C$6+(Inputs!$B$8+Inputs!$B$9-Inputs!$B$9)*(LayerCost!$C$6+(((Inputs!$B$13+Inputs!$B$14+Inputs!$B$15+Inputs!$B$16)*Inputs!$B$21+Inputs!$B$17*Inputs!$B$22)*1/1000000+Inputs!$B$38*Inputs!$B$30/1000000+Inputs!$B$32*Inputs!$B$33/1024*Inputs!$B$36/1000))+Inputs!$B$9*(LayerCost!$C$6+(((Inputs!$B$13+Inputs!$B$14+Inputs!$B$15+Inputs!$B$16)*Inputs!$B$21+Inputs!$B$17*Inputs!$B$22)*1/1000000+Inputs!$B$38*Inputs!$B$30/1000000+Inputs!$B$32*Inputs!$B$33/1024*Inputs!$B$36/1000)+((Inputs!$B$18*Inputs!$B$23*(1-Inputs!$B$26*Inputs!$B$27)+Inputs!$B$19*Inputs!$B$24)*1/1000000+Inputs!$B$38*Inputs!$B$30/1000000+Inputs!$B$32*Inputs!$B$33/1024*Inputs!$B$37/1000)))*1000000</f>
        <v/>
      </c>
      <c r="D14" s="9">
        <f>(Inputs!$B$5*LayerCost!$C$4+Inputs!$B$6*LayerCost!$C$5+Inputs!$B$7*LayerCost!$C$6+(Inputs!$B$8+Inputs!$B$9-Inputs!$B$9)*(LayerCost!$C$6+(((Inputs!$B$13+Inputs!$B$14+Inputs!$B$15+Inputs!$B$16)*Inputs!$B$21+Inputs!$B$17*Inputs!$B$22)*2/1000000+Inputs!$B$38*Inputs!$B$30/1000000+Inputs!$B$32*Inputs!$B$33/1024*Inputs!$B$36/1000))+Inputs!$B$9*(LayerCost!$C$6+(((Inputs!$B$13+Inputs!$B$14+Inputs!$B$15+Inputs!$B$16)*Inputs!$B$21+Inputs!$B$17*Inputs!$B$22)*2/1000000+Inputs!$B$38*Inputs!$B$30/1000000+Inputs!$B$32*Inputs!$B$33/1024*Inputs!$B$36/1000)+((Inputs!$B$18*Inputs!$B$23*(1-Inputs!$B$26*Inputs!$B$27)+Inputs!$B$19*Inputs!$B$24)*1/1000000+Inputs!$B$38*Inputs!$B$30/1000000+Inputs!$B$32*Inputs!$B$33/1024*Inputs!$B$37/1000)))*1000000</f>
        <v/>
      </c>
      <c r="E14" s="4" t="inlineStr">
        <is>
          <t>RAG chunk 數、歷史長度</t>
        </is>
      </c>
    </row>
    <row r="15">
      <c r="A15" t="inlineStr">
        <is>
          <t>L5 tokens/則</t>
        </is>
      </c>
      <c r="B15" s="9">
        <f>(Inputs!$B$5*LayerCost!$C$4+Inputs!$B$6*LayerCost!$C$5+Inputs!$B$7*LayerCost!$C$6+(Inputs!$B$8+Inputs!$B$9-Inputs!$B$9)*(LayerCost!$C$6+(((Inputs!$B$13+Inputs!$B$14+Inputs!$B$15+Inputs!$B$16)*Inputs!$B$21+Inputs!$B$17*Inputs!$B$22)*1/1000000+Inputs!$B$38*Inputs!$B$30/1000000+Inputs!$B$32*Inputs!$B$33/1024*Inputs!$B$36/1000))+Inputs!$B$9*(LayerCost!$C$6+(((Inputs!$B$13+Inputs!$B$14+Inputs!$B$15+Inputs!$B$16)*Inputs!$B$21+Inputs!$B$17*Inputs!$B$22)*1/1000000+Inputs!$B$38*Inputs!$B$30/1000000+Inputs!$B$32*Inputs!$B$33/1024*Inputs!$B$36/1000)+((Inputs!$B$18*Inputs!$B$23*(1-Inputs!$B$26*Inputs!$B$27)+Inputs!$B$19*Inputs!$B$24)*0.5/1000000+Inputs!$B$38*Inputs!$B$30/1000000+Inputs!$B$32*Inputs!$B$33/1024*Inputs!$B$37/1000)))*1000000</f>
        <v/>
      </c>
      <c r="C15" s="9">
        <f>(Inputs!$B$5*LayerCost!$C$4+Inputs!$B$6*LayerCost!$C$5+Inputs!$B$7*LayerCost!$C$6+(Inputs!$B$8+Inputs!$B$9-Inputs!$B$9)*(LayerCost!$C$6+(((Inputs!$B$13+Inputs!$B$14+Inputs!$B$15+Inputs!$B$16)*Inputs!$B$21+Inputs!$B$17*Inputs!$B$22)*1/1000000+Inputs!$B$38*Inputs!$B$30/1000000+Inputs!$B$32*Inputs!$B$33/1024*Inputs!$B$36/1000))+Inputs!$B$9*(LayerCost!$C$6+(((Inputs!$B$13+Inputs!$B$14+Inputs!$B$15+Inputs!$B$16)*Inputs!$B$21+Inputs!$B$17*Inputs!$B$22)*1/1000000+Inputs!$B$38*Inputs!$B$30/1000000+Inputs!$B$32*Inputs!$B$33/1024*Inputs!$B$36/1000)+((Inputs!$B$18*Inputs!$B$23*(1-Inputs!$B$26*Inputs!$B$27)+Inputs!$B$19*Inputs!$B$24)*1/1000000+Inputs!$B$38*Inputs!$B$30/1000000+Inputs!$B$32*Inputs!$B$33/1024*Inputs!$B$37/1000)))*1000000</f>
        <v/>
      </c>
      <c r="D15" s="9">
        <f>(Inputs!$B$5*LayerCost!$C$4+Inputs!$B$6*LayerCost!$C$5+Inputs!$B$7*LayerCost!$C$6+(Inputs!$B$8+Inputs!$B$9-Inputs!$B$9)*(LayerCost!$C$6+(((Inputs!$B$13+Inputs!$B$14+Inputs!$B$15+Inputs!$B$16)*Inputs!$B$21+Inputs!$B$17*Inputs!$B$22)*1/1000000+Inputs!$B$38*Inputs!$B$30/1000000+Inputs!$B$32*Inputs!$B$33/1024*Inputs!$B$36/1000))+Inputs!$B$9*(LayerCost!$C$6+(((Inputs!$B$13+Inputs!$B$14+Inputs!$B$15+Inputs!$B$16)*Inputs!$B$21+Inputs!$B$17*Inputs!$B$22)*1/1000000+Inputs!$B$38*Inputs!$B$30/1000000+Inputs!$B$32*Inputs!$B$33/1024*Inputs!$B$36/1000)+((Inputs!$B$18*Inputs!$B$23*(1-Inputs!$B$26*Inputs!$B$27)+Inputs!$B$19*Inputs!$B$24)*2/1000000+Inputs!$B$38*Inputs!$B$30/1000000+Inputs!$B$32*Inputs!$B$33/1024*Inputs!$B$37/1000)))*1000000</f>
        <v/>
      </c>
      <c r="E15" s="4" t="inlineStr"/>
    </row>
    <row r="16">
      <c r="A16" t="inlineStr">
        <is>
          <t>L4 單價 (Flash-Lite → nano / mini)</t>
        </is>
      </c>
      <c r="B16" s="9">
        <f>(Inputs!$B$5*LayerCost!$C$4+Inputs!$B$6*LayerCost!$C$5+Inputs!$B$7*LayerCost!$C$6+(Inputs!$B$8+Inputs!$B$9-Inputs!$B$9)*(LayerCost!$C$6+(((Inputs!$B$13+Inputs!$B$14+Inputs!$B$15+Inputs!$B$16)*0.20+Inputs!$B$17*1.25)*1/1000000+Inputs!$B$38*Inputs!$B$30/1000000+Inputs!$B$32*Inputs!$B$33/1024*Inputs!$B$36/1000))+Inputs!$B$9*(LayerCost!$C$6+(((Inputs!$B$13+Inputs!$B$14+Inputs!$B$15+Inputs!$B$16)*0.20+Inputs!$B$17*1.25)*1/1000000+Inputs!$B$38*Inputs!$B$30/1000000+Inputs!$B$32*Inputs!$B$33/1024*Inputs!$B$36/1000)+((Inputs!$B$18*Inputs!$B$23*(1-Inputs!$B$26*Inputs!$B$27)+Inputs!$B$19*Inputs!$B$24)*1/1000000+Inputs!$B$38*Inputs!$B$30/1000000+Inputs!$B$32*Inputs!$B$33/1024*Inputs!$B$37/1000)))*1000000</f>
        <v/>
      </c>
      <c r="C16" s="9">
        <f>(Inputs!$B$5*LayerCost!$C$4+Inputs!$B$6*LayerCost!$C$5+Inputs!$B$7*LayerCost!$C$6+(Inputs!$B$8+Inputs!$B$9-Inputs!$B$9)*(LayerCost!$C$6+(((Inputs!$B$13+Inputs!$B$14+Inputs!$B$15+Inputs!$B$16)*Inputs!$B$21+Inputs!$B$17*Inputs!$B$22)*1/1000000+Inputs!$B$38*Inputs!$B$30/1000000+Inputs!$B$32*Inputs!$B$33/1024*Inputs!$B$36/1000))+Inputs!$B$9*(LayerCost!$C$6+(((Inputs!$B$13+Inputs!$B$14+Inputs!$B$15+Inputs!$B$16)*Inputs!$B$21+Inputs!$B$17*Inputs!$B$22)*1/1000000+Inputs!$B$38*Inputs!$B$30/1000000+Inputs!$B$32*Inputs!$B$33/1024*Inputs!$B$36/1000)+((Inputs!$B$18*Inputs!$B$23*(1-Inputs!$B$26*Inputs!$B$27)+Inputs!$B$19*Inputs!$B$24)*1/1000000+Inputs!$B$38*Inputs!$B$30/1000000+Inputs!$B$32*Inputs!$B$33/1024*Inputs!$B$37/1000)))*1000000</f>
        <v/>
      </c>
      <c r="D16" s="9">
        <f>(Inputs!$B$5*LayerCost!$C$4+Inputs!$B$6*LayerCost!$C$5+Inputs!$B$7*LayerCost!$C$6+(Inputs!$B$8+Inputs!$B$9-Inputs!$B$9)*(LayerCost!$C$6+(((Inputs!$B$13+Inputs!$B$14+Inputs!$B$15+Inputs!$B$16)*0.75+Inputs!$B$17*4.50)*1/1000000+Inputs!$B$38*Inputs!$B$30/1000000+Inputs!$B$32*Inputs!$B$33/1024*Inputs!$B$36/1000))+Inputs!$B$9*(LayerCost!$C$6+(((Inputs!$B$13+Inputs!$B$14+Inputs!$B$15+Inputs!$B$16)*0.75+Inputs!$B$17*4.50)*1/1000000+Inputs!$B$38*Inputs!$B$30/1000000+Inputs!$B$32*Inputs!$B$33/1024*Inputs!$B$36/1000)+((Inputs!$B$18*Inputs!$B$23*(1-Inputs!$B$26*Inputs!$B$27)+Inputs!$B$19*Inputs!$B$24)*1/1000000+Inputs!$B$38*Inputs!$B$30/1000000+Inputs!$B$32*Inputs!$B$33/1024*Inputs!$B$37/1000)))*1000000</f>
        <v/>
      </c>
      <c r="E16" s="4" t="inlineStr">
        <is>
          <t>欄位為 nano / 預設 / mini</t>
        </is>
      </c>
    </row>
    <row r="17">
      <c r="A17" t="inlineStr">
        <is>
          <t>L5 prompt cache 命中 (0 → 50% / 90%)</t>
        </is>
      </c>
      <c r="B17" s="9">
        <f>(Inputs!$B$5*LayerCost!$C$4+Inputs!$B$6*LayerCost!$C$5+Inputs!$B$7*LayerCost!$C$6+(Inputs!$B$8+Inputs!$B$9-Inputs!$B$9)*(LayerCost!$C$6+(((Inputs!$B$13+Inputs!$B$14+Inputs!$B$15+Inputs!$B$16)*Inputs!$B$21+Inputs!$B$17*Inputs!$B$22)*1/1000000+Inputs!$B$38*Inputs!$B$30/1000000+Inputs!$B$32*Inputs!$B$33/1024*Inputs!$B$36/1000))+Inputs!$B$9*(LayerCost!$C$6+(((Inputs!$B$13+Inputs!$B$14+Inputs!$B$15+Inputs!$B$16)*Inputs!$B$21+Inputs!$B$17*Inputs!$B$22)*1/1000000+Inputs!$B$38*Inputs!$B$30/1000000+Inputs!$B$32*Inputs!$B$33/1024*Inputs!$B$36/1000)+((Inputs!$B$18*Inputs!$B$23*(1-0.5*Inputs!$B$27)+Inputs!$B$19*Inputs!$B$24)*1/1000000+Inputs!$B$38*Inputs!$B$30/1000000+Inputs!$B$32*Inputs!$B$33/1024*Inputs!$B$37/1000)))*1000000</f>
        <v/>
      </c>
      <c r="C17" s="9">
        <f>(Inputs!$B$5*LayerCost!$C$4+Inputs!$B$6*LayerCost!$C$5+Inputs!$B$7*LayerCost!$C$6+(Inputs!$B$8+Inputs!$B$9-Inputs!$B$9)*(LayerCost!$C$6+(((Inputs!$B$13+Inputs!$B$14+Inputs!$B$15+Inputs!$B$16)*Inputs!$B$21+Inputs!$B$17*Inputs!$B$22)*1/1000000+Inputs!$B$38*Inputs!$B$30/1000000+Inputs!$B$32*Inputs!$B$33/1024*Inputs!$B$36/1000))+Inputs!$B$9*(LayerCost!$C$6+(((Inputs!$B$13+Inputs!$B$14+Inputs!$B$15+Inputs!$B$16)*Inputs!$B$21+Inputs!$B$17*Inputs!$B$22)*1/1000000+Inputs!$B$38*Inputs!$B$30/1000000+Inputs!$B$32*Inputs!$B$33/1024*Inputs!$B$36/1000)+((Inputs!$B$18*Inputs!$B$23*(1-Inputs!$B$26*Inputs!$B$27)+Inputs!$B$19*Inputs!$B$24)*1/1000000+Inputs!$B$38*Inputs!$B$30/1000000+Inputs!$B$32*Inputs!$B$33/1024*Inputs!$B$37/1000)))*1000000</f>
        <v/>
      </c>
      <c r="D17" s="9">
        <f>(Inputs!$B$5*LayerCost!$C$4+Inputs!$B$6*LayerCost!$C$5+Inputs!$B$7*LayerCost!$C$6+(Inputs!$B$8+Inputs!$B$9-Inputs!$B$9)*(LayerCost!$C$6+(((Inputs!$B$13+Inputs!$B$14+Inputs!$B$15+Inputs!$B$16)*Inputs!$B$21+Inputs!$B$17*Inputs!$B$22)*1/1000000+Inputs!$B$38*Inputs!$B$30/1000000+Inputs!$B$32*Inputs!$B$33/1024*Inputs!$B$36/1000))+Inputs!$B$9*(LayerCost!$C$6+(((Inputs!$B$13+Inputs!$B$14+Inputs!$B$15+Inputs!$B$16)*Inputs!$B$21+Inputs!$B$17*Inputs!$B$22)*1/1000000+Inputs!$B$38*Inputs!$B$30/1000000+Inputs!$B$32*Inputs!$B$33/1024*Inputs!$B$36/1000)+((Inputs!$B$18*Inputs!$B$23*(1-0.9*Inputs!$B$27)+Inputs!$B$19*Inputs!$B$24)*1/1000000+Inputs!$B$38*Inputs!$B$30/1000000+Inputs!$B$32*Inputs!$B$33/1024*Inputs!$B$37/1000)))*1000000</f>
        <v/>
      </c>
      <c r="E17" s="4" t="inlineStr">
        <is>
          <t>cache 折扣依 Inputs</t>
        </is>
      </c>
    </row>
    <row r="20">
      <c r="A20" s="6" t="inlineStr">
        <is>
          <t>表 3：自建 (C) 損益兩平 msgs/月 對 knob 的敏感度</t>
        </is>
      </c>
    </row>
    <row r="21">
      <c r="A21" s="2" t="inlineStr">
        <is>
          <t>Knob</t>
        </is>
      </c>
      <c r="B21" s="2" t="inlineStr">
        <is>
          <t>低</t>
        </is>
      </c>
      <c r="C21" s="2" t="inlineStr">
        <is>
          <t>預設</t>
        </is>
      </c>
      <c r="D21" s="2" t="inlineStr">
        <is>
          <t>高</t>
        </is>
      </c>
      <c r="E21" s="2" t="inlineStr">
        <is>
          <t>說明</t>
        </is>
      </c>
    </row>
    <row r="22">
      <c r="A22" t="inlineStr">
        <is>
          <t>維護工時 hr/月 (0 / 4 / 8)</t>
        </is>
      </c>
      <c r="B22" s="11">
        <f>(Inputs!$B$49/(Inputs!$B$50*12)+Inputs!$B$51/1000*730*Inputs!$B$53+0*Inputs!$B$55+Inputs!$B$56/(Inputs!$B$50*12)+Inputs!$B$49*Inputs!$B$57/12)/Inputs!$B$3/(LayerCost!$B$12-((Inputs!$B$52-Inputs!$B$51)/1000*Inputs!$B$43/3600*Inputs!$B$53/Inputs!$B$3))/Breakeven!$B$4</f>
        <v/>
      </c>
      <c r="C22" s="11">
        <f>(Inputs!$B$49/(Inputs!$B$50*12)+Inputs!$B$51/1000*730*Inputs!$B$53+Inputs!$B$54*Inputs!$B$55+Inputs!$B$56/(Inputs!$B$50*12)+Inputs!$B$49*Inputs!$B$57/12)/Inputs!$B$3/(LayerCost!$B$12-((Inputs!$B$52-Inputs!$B$51)/1000*Inputs!$B$43/3600*Inputs!$B$53/Inputs!$B$3))/Breakeven!$B$4</f>
        <v/>
      </c>
      <c r="D22" s="11">
        <f>(Inputs!$B$49/(Inputs!$B$50*12)+Inputs!$B$51/1000*730*Inputs!$B$53+Inputs!$B$54*2*Inputs!$B$55+Inputs!$B$56/(Inputs!$B$50*12)+Inputs!$B$49*Inputs!$B$57/12)/Inputs!$B$3/(LayerCost!$B$12-((Inputs!$B$52-Inputs!$B$51)/1000*Inputs!$B$43/3600*Inputs!$B$53/Inputs!$B$3))/Breakeven!$B$4</f>
        <v/>
      </c>
      <c r="E22" s="4" t="inlineStr">
        <is>
          <t>設 0 是自欺；仍是最大槓桿</t>
        </is>
      </c>
    </row>
    <row r="23">
      <c r="A23" t="inlineStr">
        <is>
          <t>電價 NT$/度 (2.25 / 4.5 / 9.39)</t>
        </is>
      </c>
      <c r="B23" s="11">
        <f>(Inputs!$B$49/(Inputs!$B$50*12)+Inputs!$B$51/1000*730*2.25+Inputs!$B$54*Inputs!$B$55+Inputs!$B$56/(Inputs!$B$50*12)+Inputs!$B$49*Inputs!$B$57/12)/Inputs!$B$3/(LayerCost!$B$12-((Inputs!$B$52-Inputs!$B$51)/1000*Inputs!$B$43/3600*2.25/Inputs!$B$3))/Breakeven!$B$4</f>
        <v/>
      </c>
      <c r="C23" s="11">
        <f>(Inputs!$B$49/(Inputs!$B$50*12)+Inputs!$B$51/1000*730*Inputs!$B$53+Inputs!$B$54*Inputs!$B$55+Inputs!$B$56/(Inputs!$B$50*12)+Inputs!$B$49*Inputs!$B$57/12)/Inputs!$B$3/(LayerCost!$B$12-((Inputs!$B$52-Inputs!$B$51)/1000*Inputs!$B$43/3600*Inputs!$B$53/Inputs!$B$3))/Breakeven!$B$4</f>
        <v/>
      </c>
      <c r="D23" s="11">
        <f>(Inputs!$B$49/(Inputs!$B$50*12)+Inputs!$B$51/1000*730*9.39+Inputs!$B$54*Inputs!$B$55+Inputs!$B$56/(Inputs!$B$50*12)+Inputs!$B$49*Inputs!$B$57/12)/Inputs!$B$3/(LayerCost!$B$12-((Inputs!$B$52-Inputs!$B$51)/1000*Inputs!$B$43/3600*9.39/Inputs!$B$3))/Breakeven!$B$4</f>
        <v/>
      </c>
      <c r="E23" s="4" t="inlineStr">
        <is>
          <t>影響 &lt; 3%</t>
        </is>
      </c>
    </row>
    <row r="24">
      <c r="A24" t="inlineStr">
        <is>
          <t>整機成本 (×0.5 / ×1 / ×2)</t>
        </is>
      </c>
      <c r="B24" s="11">
        <f>(Inputs!$B$49*0.5/(Inputs!$B$50*12)+Inputs!$B$51/1000*730*Inputs!$B$53+Inputs!$B$54*Inputs!$B$55+Inputs!$B$56/(Inputs!$B$50*12)+Inputs!$B$49*0.5*Inputs!$B$57/12)/Inputs!$B$3/(LayerCost!$B$12-((Inputs!$B$52-Inputs!$B$51)/1000*Inputs!$B$43/3600*Inputs!$B$53/Inputs!$B$3))/Breakeven!$B$4</f>
        <v/>
      </c>
      <c r="C24" s="11">
        <f>(Inputs!$B$49/(Inputs!$B$50*12)+Inputs!$B$51/1000*730*Inputs!$B$53+Inputs!$B$54*Inputs!$B$55+Inputs!$B$56/(Inputs!$B$50*12)+Inputs!$B$49*Inputs!$B$57/12)/Inputs!$B$3/(LayerCost!$B$12-((Inputs!$B$52-Inputs!$B$51)/1000*Inputs!$B$43/3600*Inputs!$B$53/Inputs!$B$3))/Breakeven!$B$4</f>
        <v/>
      </c>
      <c r="D24" s="11">
        <f>(Inputs!$B$49*2/(Inputs!$B$50*12)+Inputs!$B$51/1000*730*Inputs!$B$53+Inputs!$B$54*Inputs!$B$55+Inputs!$B$56/(Inputs!$B$50*12)+Inputs!$B$49*2*Inputs!$B$57/12)/Inputs!$B$3/(LayerCost!$B$12-((Inputs!$B$52-Inputs!$B$51)/1000*Inputs!$B$43/3600*Inputs!$B$53/Inputs!$B$3))/Breakeven!$B$4</f>
        <v/>
      </c>
      <c r="E24" s="4" t="inlineStr"/>
    </row>
    <row r="25">
      <c r="A25" t="inlineStr">
        <is>
          <t>t_active 秒 (1 / 2.5 / 5)</t>
        </is>
      </c>
      <c r="B25" s="11">
        <f>(Inputs!$B$49/(Inputs!$B$50*12)+Inputs!$B$51/1000*730*Inputs!$B$53+Inputs!$B$54*Inputs!$B$55+Inputs!$B$56/(Inputs!$B$50*12)+Inputs!$B$49*Inputs!$B$57/12)/Inputs!$B$3/(LayerCost!$B$12-((Inputs!$B$52-Inputs!$B$51)/1000*1/3600*Inputs!$B$53/Inputs!$B$3))/Breakeven!$B$4</f>
        <v/>
      </c>
      <c r="C25" s="11">
        <f>(Inputs!$B$49/(Inputs!$B$50*12)+Inputs!$B$51/1000*730*Inputs!$B$53+Inputs!$B$54*Inputs!$B$55+Inputs!$B$56/(Inputs!$B$50*12)+Inputs!$B$49*Inputs!$B$57/12)/Inputs!$B$3/(LayerCost!$B$12-((Inputs!$B$52-Inputs!$B$51)/1000*Inputs!$B$43/3600*Inputs!$B$53/Inputs!$B$3))/Breakeven!$B$4</f>
        <v/>
      </c>
      <c r="D25" s="11">
        <f>(Inputs!$B$49/(Inputs!$B$50*12)+Inputs!$B$51/1000*730*Inputs!$B$53+Inputs!$B$54*Inputs!$B$55+Inputs!$B$56/(Inputs!$B$50*12)+Inputs!$B$49*Inputs!$B$57/12)/Inputs!$B$3/(LayerCost!$B$12-((Inputs!$B$52-Inputs!$B$51)/1000*5/3600*Inputs!$B$53/Inputs!$B$3))/Breakeven!$B$4</f>
        <v/>
      </c>
      <c r="E25" s="4" t="inlineStr">
        <is>
          <t>影響電費項；容量另見 TCO-Local 利用率</t>
        </is>
      </c>
    </row>
    <row r="27">
      <c r="A27" s="4" t="inlineStr">
        <is>
          <t>註：本機無 LibreOffice，本檔無快取值；Excel / Google Sheets 開啟即自動重算。公式已用 Python 鏡射驗證（見文件 §11）。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2026-09-25T03:03:24Z</dcterms:created>
  <dcterms:modified xmlns:dcterms="http://purl.org/dc/terms/" xmlns:xsi="http://www.w3.org/2001/XMLSchema-instance" xsi:type="dcterms:W3CDTF">2026-09-25T03:03:24Z</dcterms:modified>
</cp:coreProperties>
</file>