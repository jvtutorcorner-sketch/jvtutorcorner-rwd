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RTC per-lesson" sheetId="2" state="visible" r:id="rId2"/>
    <sheet xmlns:r="http://schemas.openxmlformats.org/officeDocument/2006/relationships" name="UnitEcon (§10)" sheetId="3" state="visible" r:id="rId3"/>
    <sheet xmlns:r="http://schemas.openxmlformats.org/officeDocument/2006/relationships" name="Scale (§11)" sheetId="4" state="visible" r:id="rId4"/>
    <sheet xmlns:r="http://schemas.openxmlformats.org/officeDocument/2006/relationships" name="Breakeven (§12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NT$&quot;#,##0;(&quot;NT$&quot;#,##0);-"/>
    <numFmt numFmtId="165" formatCode="0.0%"/>
    <numFmt numFmtId="166" formatCode="&quot;$&quot;#,##0.0000"/>
    <numFmt numFmtId="167" formatCode="&quot;NT$&quot;#,##0.00;(&quot;NT$&quot;#,##0.00);-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</font>
    <font>
      <name val="Arial"/>
    </font>
    <font>
      <name val="Arial"/>
      <color rgb="000000FF"/>
    </font>
    <font>
      <name val="Arial"/>
      <color rgb="00000000"/>
    </font>
    <font>
      <name val="Arial"/>
      <i val="1"/>
      <sz val="9"/>
    </font>
    <font>
      <name val="Arial"/>
      <b val="1"/>
    </font>
    <font>
      <name val="Arial"/>
      <i val="1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F00"/>
      </patternFill>
    </fill>
    <fill>
      <patternFill patternType="solid">
        <fgColor rgb="00D9E1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3" fontId="4" fillId="3" borderId="1" pivotButton="0" quotePrefix="0" xfId="0"/>
    <xf numFmtId="0" fontId="5" fillId="0" borderId="1" pivotButton="0" quotePrefix="0" xfId="0"/>
    <xf numFmtId="0" fontId="6" fillId="0" borderId="0" pivotButton="0" quotePrefix="0" xfId="0"/>
    <xf numFmtId="164" fontId="4" fillId="3" borderId="1" pivotButton="0" quotePrefix="0" xfId="0"/>
    <xf numFmtId="165" fontId="4" fillId="3" borderId="1" pivotButton="0" quotePrefix="0" xfId="0"/>
    <xf numFmtId="0" fontId="7" fillId="4" borderId="0" pivotButton="0" quotePrefix="0" xfId="0"/>
    <xf numFmtId="0" fontId="0" fillId="4" borderId="0" pivotButton="0" quotePrefix="0" xfId="0"/>
    <xf numFmtId="4" fontId="4" fillId="3" borderId="1" pivotButton="0" quotePrefix="0" xfId="0"/>
    <xf numFmtId="166" fontId="4" fillId="3" borderId="1" pivotButton="0" quotePrefix="0" xfId="0"/>
    <xf numFmtId="0" fontId="8" fillId="0" borderId="0" pivotButton="0" quotePrefix="0" xfId="0"/>
    <xf numFmtId="0" fontId="0" fillId="0" borderId="1" pivotButton="0" quotePrefix="0" xfId="0"/>
    <xf numFmtId="4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0" fontId="7" fillId="0" borderId="1" pivotButton="0" quotePrefix="0" xfId="0"/>
    <xf numFmtId="0" fontId="3" fillId="0" borderId="1" pivotButton="0" quotePrefix="0" xfId="0"/>
    <xf numFmtId="167" fontId="5" fillId="0" borderId="1" pivotButton="0" quotePrefix="0" xfId="0"/>
    <xf numFmtId="0" fontId="7" fillId="0" borderId="0" pivotButton="0" quotePrefix="0" xfId="0"/>
    <xf numFmtId="164" fontId="7" fillId="5" borderId="1" pivotButton="0" quotePrefix="0" xfId="0"/>
    <xf numFmtId="165" fontId="7" fillId="0" borderId="1" pivotButton="0" quotePrefix="0" xfId="0"/>
    <xf numFmtId="0" fontId="4" fillId="3" borderId="0" pivotButton="0" quotePrefix="0" xfId="0"/>
    <xf numFmtId="3" fontId="0" fillId="0" borderId="1" pivotButton="0" quotePrefix="0" xfId="0"/>
    <xf numFmtId="164" fontId="0" fillId="0" borderId="1" pivotButton="0" quotePrefix="0" xfId="0"/>
    <xf numFmtId="3" fontId="7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plan</author>
  </authors>
  <commentList>
    <comment ref="B4" authorId="0" shapeId="0">
      <text>
        <t>團隊+行銷+技術固定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0" customWidth="1" min="3" max="3"/>
    <col width="52" customWidth="1" min="4" max="4"/>
  </cols>
  <sheetData>
    <row r="1">
      <c r="A1" s="1" t="inlineStr">
        <is>
          <t>AI Learning Platform — 成本模型 Inputs（黃底藍字＝可調）</t>
        </is>
      </c>
    </row>
    <row r="3">
      <c r="A3" s="2" t="inlineStr">
        <is>
          <t>參數</t>
        </is>
      </c>
      <c r="B3" s="2" t="inlineStr">
        <is>
          <t>值</t>
        </is>
      </c>
      <c r="C3" s="2" t="inlineStr">
        <is>
          <t>單位</t>
        </is>
      </c>
      <c r="D3" s="2" t="inlineStr">
        <is>
          <t>說明 / 來源</t>
        </is>
      </c>
    </row>
    <row r="4">
      <c r="A4" s="3" t="inlineStr">
        <is>
          <t>FX_USD_TWD</t>
        </is>
      </c>
      <c r="B4" s="4" t="n">
        <v>32</v>
      </c>
      <c r="C4" s="5" t="inlineStr">
        <is>
          <t>NT$/US$</t>
        </is>
      </c>
      <c r="D4" s="6" t="inlineStr">
        <is>
          <t>匯率假設</t>
        </is>
      </c>
    </row>
    <row r="5">
      <c r="A5" s="3" t="inlineStr">
        <is>
          <t>售價 / 堂 (1對1)</t>
        </is>
      </c>
      <c r="B5" s="7" t="n">
        <v>600</v>
      </c>
      <c r="C5" s="5" t="inlineStr">
        <is>
          <t>NT$</t>
        </is>
      </c>
      <c r="D5" s="6" t="inlineStr">
        <is>
          <t>使用者指定</t>
        </is>
      </c>
    </row>
    <row r="6">
      <c r="A6" s="3" t="inlineStr">
        <is>
          <t>老師分潤</t>
        </is>
      </c>
      <c r="B6" s="8" t="n">
        <v>0.7</v>
      </c>
      <c r="C6" s="5" t="inlineStr">
        <is>
          <t>%</t>
        </is>
      </c>
      <c r="D6" s="6" t="inlineStr">
        <is>
          <t>使用者指定；程式現況為 100%，P0 才實作抽成</t>
        </is>
      </c>
    </row>
    <row r="7">
      <c r="A7" s="3" t="inlineStr">
        <is>
          <t>金流手續費率</t>
        </is>
      </c>
      <c r="B7" s="8" t="n">
        <v>0.028</v>
      </c>
      <c r="C7" s="5" t="inlineStr">
        <is>
          <t>%</t>
        </is>
      </c>
      <c r="D7" s="6" t="inlineStr">
        <is>
          <t>約 2.8%，多閘道平均</t>
        </is>
      </c>
    </row>
    <row r="8">
      <c r="A8" s="3" t="inlineStr">
        <is>
          <t>課堂長度</t>
        </is>
      </c>
      <c r="B8" s="4" t="n">
        <v>50</v>
      </c>
      <c r="C8" s="5" t="inlineStr">
        <is>
          <t>min</t>
        </is>
      </c>
      <c r="D8" s="6" t="inlineStr">
        <is>
          <t>課程/成本單位，非 AI 分析單位</t>
        </is>
      </c>
    </row>
    <row r="9">
      <c r="A9" s="3" t="inlineStr">
        <is>
          <t>每堂 participant-min (1對1)</t>
        </is>
      </c>
      <c r="B9" s="4" t="n">
        <v>100</v>
      </c>
      <c r="C9" s="5" t="inlineStr">
        <is>
          <t>min</t>
        </is>
      </c>
      <c r="D9" s="6" t="inlineStr">
        <is>
          <t>2 人 × 50 分</t>
        </is>
      </c>
    </row>
    <row r="10">
      <c r="A10" s="9" t="inlineStr">
        <is>
          <t>—— RTC 碼率 ——</t>
        </is>
      </c>
      <c r="B10" s="10" t="n"/>
      <c r="C10" s="10" t="n"/>
      <c r="D10" s="10" t="n"/>
    </row>
    <row r="11">
      <c r="A11" s="3" t="inlineStr">
        <is>
          <t>720p 碼率</t>
        </is>
      </c>
      <c r="B11" s="11" t="n">
        <v>1.5</v>
      </c>
      <c r="C11" s="5" t="inlineStr">
        <is>
          <t>Mbps</t>
        </is>
      </c>
      <c r="D11" s="6" t="inlineStr">
        <is>
          <t>Agora high 預設 1.2–1.8，取 1.5</t>
        </is>
      </c>
    </row>
    <row r="12">
      <c r="A12" s="3" t="inlineStr">
        <is>
          <t>360p 碼率</t>
        </is>
      </c>
      <c r="B12" s="11" t="n">
        <v>0.5</v>
      </c>
      <c r="C12" s="5" t="inlineStr">
        <is>
          <t>Mbps</t>
        </is>
      </c>
      <c r="D12" s="6" t="inlineStr">
        <is>
          <t>medium 預設</t>
        </is>
      </c>
    </row>
    <row r="13">
      <c r="A13" s="3" t="inlineStr">
        <is>
          <t>純音訊碼率</t>
        </is>
      </c>
      <c r="B13" s="11" t="n">
        <v>0.04</v>
      </c>
      <c r="C13" s="5" t="inlineStr">
        <is>
          <t>Mbps</t>
        </is>
      </c>
      <c r="D13" s="6" t="inlineStr">
        <is>
          <t>opus ~40kbps</t>
        </is>
      </c>
    </row>
    <row r="14">
      <c r="A14" s="9" t="inlineStr">
        <is>
          <t>—— 供應商單價 ——</t>
        </is>
      </c>
      <c r="B14" s="10" t="n"/>
      <c r="C14" s="10" t="n"/>
      <c r="D14" s="10" t="n"/>
    </row>
    <row r="15">
      <c r="A15" s="3" t="inlineStr">
        <is>
          <t>Agora HD /1k min</t>
        </is>
      </c>
      <c r="B15" s="12" t="n">
        <v>3.99</v>
      </c>
      <c r="C15" s="5" t="inlineStr">
        <is>
          <t>US$</t>
        </is>
      </c>
      <c r="D15" s="6" t="inlineStr">
        <is>
          <t>訂閱聚合解析度 ≤921,600px</t>
        </is>
      </c>
    </row>
    <row r="16">
      <c r="A16" s="3" t="inlineStr">
        <is>
          <t>Agora 2K /1k min</t>
        </is>
      </c>
      <c r="B16" s="12" t="n">
        <v>15.99</v>
      </c>
      <c r="C16" s="5" t="inlineStr">
        <is>
          <t>US$</t>
        </is>
      </c>
      <c r="D16" s="6" t="inlineStr">
        <is>
          <t>≤3,686,400px</t>
        </is>
      </c>
    </row>
    <row r="17">
      <c r="A17" s="3" t="inlineStr">
        <is>
          <t>Agora 2K+ /1k min</t>
        </is>
      </c>
      <c r="B17" s="12" t="n">
        <v>35.99</v>
      </c>
      <c r="C17" s="5" t="inlineStr">
        <is>
          <t>US$</t>
        </is>
      </c>
      <c r="D17" s="6" t="inlineStr">
        <is>
          <t>&gt;3,686,400px</t>
        </is>
      </c>
    </row>
    <row r="18">
      <c r="A18" s="3" t="inlineStr">
        <is>
          <t>Agora Audio /1k min</t>
        </is>
      </c>
      <c r="B18" s="12" t="n">
        <v>0.99</v>
      </c>
      <c r="C18" s="5" t="inlineStr">
        <is>
          <t>US$</t>
        </is>
      </c>
      <c r="D18" s="6" t="inlineStr">
        <is>
          <t>只訂閱音訊</t>
        </is>
      </c>
    </row>
    <row r="19">
      <c r="A19" s="3" t="inlineStr">
        <is>
          <t>Netless 白板 /1k min</t>
        </is>
      </c>
      <c r="B19" s="12" t="n">
        <v>1.4</v>
      </c>
      <c r="C19" s="5" t="inlineStr">
        <is>
          <t>US$</t>
        </is>
      </c>
      <c r="D19" s="6" t="inlineStr">
        <is>
          <t>官方價；repo 另有 0.0125/0.38 說法，待帳單校準</t>
        </is>
      </c>
    </row>
    <row r="20">
      <c r="A20" s="3" t="inlineStr">
        <is>
          <t>Cloudflare SFU /GB</t>
        </is>
      </c>
      <c r="B20" s="12" t="n">
        <v>0.05</v>
      </c>
      <c r="C20" s="5" t="inlineStr">
        <is>
          <t>US$</t>
        </is>
      </c>
      <c r="D20" s="6" t="inlineStr">
        <is>
          <t>僅 CF→client 出流</t>
        </is>
      </c>
    </row>
    <row r="21">
      <c r="A21" s="3" t="inlineStr">
        <is>
          <t>CF 免費額度</t>
        </is>
      </c>
      <c r="B21" s="4" t="n">
        <v>1000</v>
      </c>
      <c r="C21" s="5" t="inlineStr">
        <is>
          <t>GB/月</t>
        </is>
      </c>
      <c r="D21" s="6" t="inlineStr">
        <is>
          <t>SFU+TURN 共用</t>
        </is>
      </c>
    </row>
    <row r="22">
      <c r="A22" s="3" t="inlineStr">
        <is>
          <t>Agora 免費額度</t>
        </is>
      </c>
      <c r="B22" s="4" t="n">
        <v>10000</v>
      </c>
      <c r="C22" s="5" t="inlineStr">
        <is>
          <t>min/月</t>
        </is>
      </c>
      <c r="D22" s="6" t="inlineStr">
        <is>
          <t>買套餐即失效</t>
        </is>
      </c>
    </row>
    <row r="23">
      <c r="A23" s="9" t="inlineStr">
        <is>
          <t>—— AI 每堂 (1對1) ——</t>
        </is>
      </c>
      <c r="B23" s="10" t="n"/>
      <c r="C23" s="10" t="n"/>
      <c r="D23" s="10" t="n"/>
    </row>
    <row r="24">
      <c r="A24" s="3" t="inlineStr">
        <is>
          <t>AI Learning /堂</t>
        </is>
      </c>
      <c r="B24" s="7" t="n">
        <v>3.65</v>
      </c>
      <c r="C24" s="5" t="inlineStr">
        <is>
          <t>NT$</t>
        </is>
      </c>
      <c r="D24" s="6" t="inlineStr">
        <is>
          <t>L1+L2+L3+L4+Tutor+Assess+Copilot+儲存（thinking 關）</t>
        </is>
      </c>
    </row>
    <row r="25">
      <c r="A25" s="3" t="inlineStr">
        <is>
          <t>AI Learning /堂 (對話型)</t>
        </is>
      </c>
      <c r="B25" s="7" t="n">
        <v>4.6</v>
      </c>
      <c r="C25" s="5" t="inlineStr">
        <is>
          <t>NT$</t>
        </is>
      </c>
      <c r="D25" s="6" t="inlineStr">
        <is>
          <t>L1 90–100 段 + Review + Lambda</t>
        </is>
      </c>
    </row>
    <row r="26">
      <c r="A26" s="3" t="inlineStr">
        <is>
          <t>AI 硬上限 /堂</t>
        </is>
      </c>
      <c r="B26" s="7" t="n">
        <v>12</v>
      </c>
      <c r="C26" s="5" t="inlineStr">
        <is>
          <t>NT$</t>
        </is>
      </c>
      <c r="D26" s="6" t="inlineStr">
        <is>
          <t>觸頂走降級階梯</t>
        </is>
      </c>
    </row>
    <row r="27">
      <c r="A27" s="9" t="inlineStr">
        <is>
          <t>—— 其他每堂 ——</t>
        </is>
      </c>
      <c r="B27" s="10" t="n"/>
      <c r="C27" s="10" t="n"/>
      <c r="D27" s="10" t="n"/>
    </row>
    <row r="28">
      <c r="A28" s="3" t="inlineStr">
        <is>
          <t>變動基礎設施 /堂</t>
        </is>
      </c>
      <c r="B28" s="7" t="n">
        <v>1.3</v>
      </c>
      <c r="C28" s="5" t="inlineStr">
        <is>
          <t>NT$</t>
        </is>
      </c>
      <c r="D28" s="6" t="inlineStr">
        <is>
          <t>DynamoDB/Lambda/Hosting 變動部分</t>
        </is>
      </c>
    </row>
    <row r="29">
      <c r="A29" s="3" t="inlineStr">
        <is>
          <t>儲存 /堂</t>
        </is>
      </c>
      <c r="B29" s="7" t="n">
        <v>0.05</v>
      </c>
      <c r="C29" s="5" t="inlineStr">
        <is>
          <t>NT$</t>
        </is>
      </c>
      <c r="D29" s="6" t="inlineStr">
        <is>
          <t>音訊/逐字稿/快照，30天保存</t>
        </is>
      </c>
    </row>
    <row r="30">
      <c r="A30" s="9" t="inlineStr">
        <is>
          <t>—— 規模模型參數 ——</t>
        </is>
      </c>
      <c r="B30" s="10" t="n"/>
      <c r="C30" s="10" t="n"/>
      <c r="D30" s="10" t="n"/>
    </row>
    <row r="31">
      <c r="A31" s="3" t="inlineStr">
        <is>
          <t>每月每週比 (週→月)</t>
        </is>
      </c>
      <c r="B31" s="11" t="n">
        <v>4.33</v>
      </c>
      <c r="C31" s="5" t="inlineStr">
        <is>
          <t>×</t>
        </is>
      </c>
      <c r="D31" s="6" t="inlineStr">
        <is>
          <t>52/12</t>
        </is>
      </c>
    </row>
    <row r="32">
      <c r="A32" s="3" t="inlineStr">
        <is>
          <t>Agora 回退比例</t>
        </is>
      </c>
      <c r="B32" s="8" t="n">
        <v>0.05</v>
      </c>
      <c r="C32" s="5" t="inlineStr">
        <is>
          <t>%</t>
        </is>
      </c>
      <c r="D32" s="6" t="inlineStr">
        <is>
          <t>B 情境混合 RTC 用；0=全 CF</t>
        </is>
      </c>
    </row>
    <row r="35">
      <c r="A35" s="13" t="inlineStr">
        <is>
          <t>圖例：黃底藍字＝可調輸入；黑字＝公式；改 Inputs 全表重算。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§5 每堂 1對1 RTC 成本（100 participant-min）</t>
        </is>
      </c>
    </row>
    <row r="2">
      <c r="A2" s="6" t="inlineStr">
        <is>
          <t>GB 公式：Mbps ÷ 8 × 秒 ÷ 1000（Cloudflare 按十進位 GB 計費，雙向出流從 SFU 各計一次）</t>
        </is>
      </c>
    </row>
    <row r="4">
      <c r="A4" s="2" t="inlineStr">
        <is>
          <t>模式</t>
        </is>
      </c>
      <c r="B4" s="2" t="inlineStr">
        <is>
          <t>出流 GB</t>
        </is>
      </c>
      <c r="C4" s="2" t="inlineStr">
        <is>
          <t>Agora US$</t>
        </is>
      </c>
      <c r="D4" s="2" t="inlineStr">
        <is>
          <t>CF US$</t>
        </is>
      </c>
      <c r="E4" s="2" t="inlineStr">
        <is>
          <t>Agora NT$</t>
        </is>
      </c>
      <c r="F4" s="2" t="inlineStr">
        <is>
          <t>CF NT$</t>
        </is>
      </c>
      <c r="G4" s="2" t="inlineStr">
        <is>
          <t>備註</t>
        </is>
      </c>
    </row>
    <row r="5">
      <c r="A5" s="14" t="inlineStr">
        <is>
          <t>雙方 720p</t>
        </is>
      </c>
      <c r="B5" s="15">
        <f>Inputs!$B$11/8*(Inputs!$B$8*60)/1000*2</f>
        <v/>
      </c>
      <c r="C5" s="16">
        <f>Inputs!$B$9/1000*Inputs!$B$15</f>
        <v/>
      </c>
      <c r="D5" s="16">
        <f>B5*Inputs!$B$20</f>
        <v/>
      </c>
      <c r="E5" s="17">
        <f>C5*Inputs!$B$4</f>
        <v/>
      </c>
      <c r="F5" s="17">
        <f>D5*Inputs!$B$4</f>
        <v/>
      </c>
      <c r="G5" s="14" t="inlineStr">
        <is>
          <t>Agora HD；main 現況</t>
        </is>
      </c>
    </row>
    <row r="6">
      <c r="A6" s="14" t="inlineStr">
        <is>
          <t>師720p+生360p</t>
        </is>
      </c>
      <c r="B6" s="15">
        <f>(Inputs!$B$11+Inputs!$B$12)/8*(Inputs!$B$8*60)/1000</f>
        <v/>
      </c>
      <c r="C6" s="16">
        <f>Inputs!$B$9/1000*Inputs!$B$15</f>
        <v/>
      </c>
      <c r="D6" s="16">
        <f>B6*Inputs!$B$20</f>
        <v/>
      </c>
      <c r="E6" s="17">
        <f>C6*Inputs!$B$4</f>
        <v/>
      </c>
      <c r="F6" s="17">
        <f>D6*Inputs!$B$4</f>
        <v/>
      </c>
      <c r="G6" s="14" t="inlineStr">
        <is>
          <t>Agora 仍 HD 同價</t>
        </is>
      </c>
    </row>
    <row r="7">
      <c r="A7" s="14" t="inlineStr">
        <is>
          <t>雙方 360p (CF 預設)</t>
        </is>
      </c>
      <c r="B7" s="15">
        <f>Inputs!$B$12/8*(Inputs!$B$8*60)/1000*2</f>
        <v/>
      </c>
      <c r="C7" s="16">
        <f>Inputs!$B$9/1000*Inputs!$B$15</f>
        <v/>
      </c>
      <c r="D7" s="16">
        <f>B7*Inputs!$B$20</f>
        <v/>
      </c>
      <c r="E7" s="17">
        <f>C7*Inputs!$B$4</f>
        <v/>
      </c>
      <c r="F7" s="17">
        <f>D7*Inputs!$B$4</f>
        <v/>
      </c>
      <c r="G7" s="14" t="inlineStr">
        <is>
          <t>Agora 仍 HD 同價（省不到）</t>
        </is>
      </c>
    </row>
    <row r="8">
      <c r="A8" s="14" t="inlineStr">
        <is>
          <t>師720p+生純音訊</t>
        </is>
      </c>
      <c r="B8" s="15">
        <f>(Inputs!$B$11+Inputs!$B$13)/8*(Inputs!$B$8*60)/1000</f>
        <v/>
      </c>
      <c r="C8" s="16">
        <f>(Inputs!$B$9/2/1000*Inputs!$B$15)+(Inputs!$B$9/2/1000*Inputs!$B$18)</f>
        <v/>
      </c>
      <c r="D8" s="16">
        <f>B8*Inputs!$B$20</f>
        <v/>
      </c>
      <c r="E8" s="17">
        <f>C8*Inputs!$B$4</f>
        <v/>
      </c>
      <c r="F8" s="17">
        <f>D8*Inputs!$B$4</f>
        <v/>
      </c>
      <c r="G8" s="14" t="inlineStr">
        <is>
          <t>老師訂閱音訊，省~37%</t>
        </is>
      </c>
    </row>
    <row r="10">
      <c r="A10" s="18" t="inlineStr">
        <is>
          <t>Netless 白板 /堂</t>
        </is>
      </c>
      <c r="B10" s="14" t="n"/>
      <c r="C10" s="16">
        <f>Inputs!$B$9/1000*Inputs!$B$19</f>
        <v/>
      </c>
      <c r="D10" s="14" t="n"/>
      <c r="E10" s="17">
        <f>C10*Inputs!$B$4</f>
        <v/>
      </c>
      <c r="F10" s="14" t="n"/>
      <c r="G10" s="14" t="inlineStr">
        <is>
          <t>2人×50min×1.4/1k（按 participant-min）</t>
        </is>
      </c>
    </row>
    <row r="11">
      <c r="A11" s="18" t="inlineStr">
        <is>
          <t>小班1師4生 Agora現況(全720p互訂)</t>
        </is>
      </c>
      <c r="B11" s="14" t="n"/>
      <c r="C11" s="16">
        <f>250/1000*Inputs!$B$16</f>
        <v/>
      </c>
      <c r="D11" s="14" t="n"/>
      <c r="E11" s="17">
        <f>C11*Inputs!$B$4</f>
        <v/>
      </c>
      <c r="F11" s="14" t="n"/>
      <c r="G11" s="14" t="inlineStr">
        <is>
          <t>每人訂4×720p→2K級 $15.99</t>
        </is>
      </c>
    </row>
    <row r="12">
      <c r="A12" s="18" t="inlineStr">
        <is>
          <t>小班1師4生 CF</t>
        </is>
      </c>
      <c r="B12" s="15">
        <f>((Inputs!$B$11/8*3000/1000*4)+(Inputs!$B$12/8*3000/1000*4))/1</f>
        <v/>
      </c>
      <c r="C12" s="14" t="n"/>
      <c r="D12" s="16">
        <f>B12*Inputs!$B$20</f>
        <v/>
      </c>
      <c r="E12" s="14" t="n"/>
      <c r="F12" s="17">
        <f>D12*Inputs!$B$4</f>
        <v/>
      </c>
      <c r="G12" s="14" t="inlineStr">
        <is>
          <t>生只訂老師+生上行360p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30" customWidth="1" min="6" max="6"/>
  </cols>
  <sheetData>
    <row r="1">
      <c r="A1" s="1" t="inlineStr">
        <is>
          <t>§10 每堂 Unit Economics（1對1，NT$）</t>
        </is>
      </c>
    </row>
    <row r="3">
      <c r="A3" s="2" t="inlineStr">
        <is>
          <t>項目</t>
        </is>
      </c>
      <c r="B3" s="2" t="inlineStr">
        <is>
          <t>A 現況 Agora 無AI</t>
        </is>
      </c>
      <c r="C3" s="2" t="inlineStr">
        <is>
          <t>A′ CF 無AI</t>
        </is>
      </c>
      <c r="D3" s="2" t="inlineStr">
        <is>
          <t>B CF+AI</t>
        </is>
      </c>
      <c r="E3" s="2" t="inlineStr">
        <is>
          <t>B-Agora +AI</t>
        </is>
      </c>
    </row>
    <row r="4">
      <c r="A4" s="19" t="inlineStr">
        <is>
          <t>Revenue</t>
        </is>
      </c>
      <c r="B4" s="20" t="inlineStr">
        <is>
          <t>Inputs!$B$5</t>
        </is>
      </c>
      <c r="C4" s="20" t="inlineStr">
        <is>
          <t>Inputs!$B$5</t>
        </is>
      </c>
      <c r="D4" s="20" t="inlineStr">
        <is>
          <t>Inputs!$B$5</t>
        </is>
      </c>
      <c r="E4" s="20" t="inlineStr">
        <is>
          <t>Inputs!$B$5</t>
        </is>
      </c>
    </row>
    <row r="5">
      <c r="A5" s="19" t="inlineStr">
        <is>
          <t>老師分潤</t>
        </is>
      </c>
      <c r="B5" s="20">
        <f>-Inputs!$B$5*Inputs!$B$6</f>
        <v/>
      </c>
      <c r="C5" s="20">
        <f>-Inputs!$B$5*Inputs!$B$6</f>
        <v/>
      </c>
      <c r="D5" s="20">
        <f>-Inputs!$B$5*Inputs!$B$6</f>
        <v/>
      </c>
      <c r="E5" s="20">
        <f>-Inputs!$B$5*Inputs!$B$6</f>
        <v/>
      </c>
    </row>
    <row r="6">
      <c r="A6" s="19" t="inlineStr">
        <is>
          <t>金流手續費</t>
        </is>
      </c>
      <c r="B6" s="20">
        <f>-Inputs!$B$5*Inputs!$B$7</f>
        <v/>
      </c>
      <c r="C6" s="20">
        <f>-Inputs!$B$5*Inputs!$B$7</f>
        <v/>
      </c>
      <c r="D6" s="20">
        <f>-Inputs!$B$5*Inputs!$B$7</f>
        <v/>
      </c>
      <c r="E6" s="20">
        <f>-Inputs!$B$5*Inputs!$B$7</f>
        <v/>
      </c>
    </row>
    <row r="7">
      <c r="A7" s="19" t="inlineStr">
        <is>
          <t>RTC(含白板)</t>
        </is>
      </c>
      <c r="B7" s="20">
        <f>-('RTC per-lesson'!$E$5+'RTC per-lesson'!$E$10)</f>
        <v/>
      </c>
      <c r="C7" s="20">
        <f>-'RTC per-lesson'!$F$7</f>
        <v/>
      </c>
      <c r="D7" s="20">
        <f>-'RTC per-lesson'!$F$7</f>
        <v/>
      </c>
      <c r="E7" s="20">
        <f>-('RTC per-lesson'!$E$5+'RTC per-lesson'!$E$10)</f>
        <v/>
      </c>
    </row>
    <row r="8">
      <c r="A8" s="19" t="inlineStr">
        <is>
          <t>AI Learning</t>
        </is>
      </c>
      <c r="B8" s="20" t="n">
        <v>0</v>
      </c>
      <c r="C8" s="20" t="n">
        <v>0</v>
      </c>
      <c r="D8" s="20">
        <f>-Inputs!$B$24</f>
        <v/>
      </c>
      <c r="E8" s="20">
        <f>-Inputs!$B$24</f>
        <v/>
      </c>
    </row>
    <row r="9">
      <c r="A9" s="19" t="inlineStr">
        <is>
          <t>儲存</t>
        </is>
      </c>
      <c r="B9" s="20" t="n">
        <v>0</v>
      </c>
      <c r="C9" s="20" t="n">
        <v>0</v>
      </c>
      <c r="D9" s="20">
        <f>-Inputs!$B$29</f>
        <v/>
      </c>
      <c r="E9" s="20">
        <f>-Inputs!$B$29</f>
        <v/>
      </c>
    </row>
    <row r="10">
      <c r="A10" s="19" t="inlineStr">
        <is>
          <t>基礎設施(變動)</t>
        </is>
      </c>
      <c r="B10" s="20">
        <f>-Inputs!$B$28</f>
        <v/>
      </c>
      <c r="C10" s="20">
        <f>-Inputs!$B$28</f>
        <v/>
      </c>
      <c r="D10" s="20">
        <f>-Inputs!$B$28</f>
        <v/>
      </c>
      <c r="E10" s="20">
        <f>-Inputs!$B$28</f>
        <v/>
      </c>
    </row>
    <row r="11">
      <c r="A11" s="21" t="inlineStr">
        <is>
          <t>Platform Contribution</t>
        </is>
      </c>
      <c r="B11" s="22">
        <f>SUM(B4:B10)</f>
        <v/>
      </c>
      <c r="C11" s="22">
        <f>SUM(C4:C10)</f>
        <v/>
      </c>
      <c r="D11" s="22">
        <f>SUM(D4:D10)</f>
        <v/>
      </c>
      <c r="E11" s="22">
        <f>SUM(E4:E10)</f>
        <v/>
      </c>
    </row>
    <row r="12">
      <c r="A12" s="21" t="inlineStr">
        <is>
          <t>貢獻率</t>
        </is>
      </c>
      <c r="B12" s="23">
        <f>B11/Inputs!$B$5</f>
        <v/>
      </c>
      <c r="C12" s="23">
        <f>C11/Inputs!$B$5</f>
        <v/>
      </c>
      <c r="D12" s="23">
        <f>D11/Inputs!$B$5</f>
        <v/>
      </c>
      <c r="E12" s="23">
        <f>E11/Inputs!$B$5</f>
        <v/>
      </c>
    </row>
    <row r="14">
      <c r="A14" s="9" t="inlineStr">
        <is>
          <t>校正項（列為參數，未計入上表；見計畫 §10）</t>
        </is>
      </c>
    </row>
    <row r="15">
      <c r="A15" s="3" t="inlineStr">
        <is>
          <t>Agora 回退混合 RTC(f)</t>
        </is>
      </c>
      <c r="B15" s="20">
        <f>(1-Inputs!$B$32)*'RTC per-lesson'!$F$7+Inputs!$B$32*('RTC per-lesson'!$E$5+'RTC per-lesson'!$E$10)</f>
        <v/>
      </c>
      <c r="C15" s="6" t="inlineStr">
        <is>
          <t>回退率見 Inputs</t>
        </is>
      </c>
    </row>
    <row r="16">
      <c r="A16" s="3" t="inlineStr">
        <is>
          <t>營業稅 5%(若含稅)</t>
        </is>
      </c>
      <c r="B16" s="20">
        <f>-Inputs!$B$5*0.05/1.05</f>
        <v/>
      </c>
      <c r="C16" s="6" t="inlineStr">
        <is>
          <t>若 NT$600 為含稅價，營收含稅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12" customWidth="1" min="11" max="11"/>
  </cols>
  <sheetData>
    <row r="1">
      <c r="A1" s="1" t="inlineStr">
        <is>
          <t>§11 規模模型（1對1，每週 2 堂，NT$/月）</t>
        </is>
      </c>
    </row>
    <row r="2">
      <c r="A2" s="3" t="inlineStr">
        <is>
          <t>週堂數(可調)</t>
        </is>
      </c>
      <c r="B2" s="4" t="n">
        <v>2</v>
      </c>
    </row>
    <row r="4">
      <c r="A4" s="2" t="inlineStr">
        <is>
          <t>學生</t>
        </is>
      </c>
      <c r="B4" s="2" t="inlineStr">
        <is>
          <t>堂數/月</t>
        </is>
      </c>
      <c r="C4" s="2" t="inlineStr">
        <is>
          <t>Revenue</t>
        </is>
      </c>
      <c r="D4" s="2" t="inlineStr">
        <is>
          <t>Teacher</t>
        </is>
      </c>
      <c r="E4" s="2" t="inlineStr">
        <is>
          <t>金流</t>
        </is>
      </c>
      <c r="F4" s="2" t="inlineStr">
        <is>
          <t>RTC-Agora</t>
        </is>
      </c>
      <c r="G4" s="2" t="inlineStr">
        <is>
          <t>RTC-CF</t>
        </is>
      </c>
      <c r="H4" s="2" t="inlineStr">
        <is>
          <t>AI</t>
        </is>
      </c>
      <c r="I4" s="2" t="inlineStr">
        <is>
          <t>固定+變動基礎設施</t>
        </is>
      </c>
      <c r="J4" s="2" t="inlineStr">
        <is>
          <t>GP 情境A(Agora無AI)</t>
        </is>
      </c>
      <c r="K4" s="2" t="inlineStr">
        <is>
          <t>GP 情境B(CF+AI)</t>
        </is>
      </c>
    </row>
    <row r="5">
      <c r="A5" s="24" t="n">
        <v>20</v>
      </c>
      <c r="B5" s="25">
        <f>A5*$B$2*Inputs!$B$31</f>
        <v/>
      </c>
      <c r="C5" s="26">
        <f>B5*Inputs!$B$5</f>
        <v/>
      </c>
      <c r="D5" s="26">
        <f>C5*Inputs!$B$6</f>
        <v/>
      </c>
      <c r="E5" s="26">
        <f>C5*Inputs!$B$7</f>
        <v/>
      </c>
      <c r="F5" s="26">
        <f>MAX(0,B5*Inputs!$B$9-Inputs!$B$22)/1000*Inputs!$B$15*Inputs!$B$4+B5*'RTC per-lesson'!$E$10</f>
        <v/>
      </c>
      <c r="G5" s="26">
        <f>MAX(0,B5*'RTC per-lesson'!$B$7-Inputs!$B$21)*Inputs!$B$20*Inputs!$B$4</f>
        <v/>
      </c>
      <c r="H5" s="26">
        <f>B5*Inputs!$B$24</f>
        <v/>
      </c>
      <c r="I5" s="26">
        <f>B5*Inputs!$B$28+=IF(B5&lt;=1000,3200,IF(B5&lt;=5000,6400,IF(B5&lt;=10000,9600,16000)))</f>
        <v/>
      </c>
      <c r="J5" s="26">
        <f>C5-D5-E5-F5-I5</f>
        <v/>
      </c>
      <c r="K5" s="26">
        <f>C5-D5-E5-G5-H5-I5</f>
        <v/>
      </c>
    </row>
    <row r="6">
      <c r="A6" s="24" t="n">
        <v>50</v>
      </c>
      <c r="B6" s="25">
        <f>A6*$B$2*Inputs!$B$31</f>
        <v/>
      </c>
      <c r="C6" s="26">
        <f>B6*Inputs!$B$5</f>
        <v/>
      </c>
      <c r="D6" s="26">
        <f>C6*Inputs!$B$6</f>
        <v/>
      </c>
      <c r="E6" s="26">
        <f>C6*Inputs!$B$7</f>
        <v/>
      </c>
      <c r="F6" s="26">
        <f>MAX(0,B6*Inputs!$B$9-Inputs!$B$22)/1000*Inputs!$B$15*Inputs!$B$4+B6*'RTC per-lesson'!$E$10</f>
        <v/>
      </c>
      <c r="G6" s="26">
        <f>MAX(0,B6*'RTC per-lesson'!$B$7-Inputs!$B$21)*Inputs!$B$20*Inputs!$B$4</f>
        <v/>
      </c>
      <c r="H6" s="26">
        <f>B6*Inputs!$B$24</f>
        <v/>
      </c>
      <c r="I6" s="26">
        <f>B6*Inputs!$B$28+=IF(B6&lt;=1000,3200,IF(B6&lt;=5000,6400,IF(B6&lt;=10000,9600,16000)))</f>
        <v/>
      </c>
      <c r="J6" s="26">
        <f>C6-D6-E6-F6-I6</f>
        <v/>
      </c>
      <c r="K6" s="26">
        <f>C6-D6-E6-G6-H6-I6</f>
        <v/>
      </c>
    </row>
    <row r="7">
      <c r="A7" s="24" t="n">
        <v>100</v>
      </c>
      <c r="B7" s="25">
        <f>A7*$B$2*Inputs!$B$31</f>
        <v/>
      </c>
      <c r="C7" s="26">
        <f>B7*Inputs!$B$5</f>
        <v/>
      </c>
      <c r="D7" s="26">
        <f>C7*Inputs!$B$6</f>
        <v/>
      </c>
      <c r="E7" s="26">
        <f>C7*Inputs!$B$7</f>
        <v/>
      </c>
      <c r="F7" s="26">
        <f>MAX(0,B7*Inputs!$B$9-Inputs!$B$22)/1000*Inputs!$B$15*Inputs!$B$4+B7*'RTC per-lesson'!$E$10</f>
        <v/>
      </c>
      <c r="G7" s="26">
        <f>MAX(0,B7*'RTC per-lesson'!$B$7-Inputs!$B$21)*Inputs!$B$20*Inputs!$B$4</f>
        <v/>
      </c>
      <c r="H7" s="26">
        <f>B7*Inputs!$B$24</f>
        <v/>
      </c>
      <c r="I7" s="26">
        <f>B7*Inputs!$B$28+=IF(B7&lt;=1000,3200,IF(B7&lt;=5000,6400,IF(B7&lt;=10000,9600,16000)))</f>
        <v/>
      </c>
      <c r="J7" s="26">
        <f>C7-D7-E7-F7-I7</f>
        <v/>
      </c>
      <c r="K7" s="26">
        <f>C7-D7-E7-G7-H7-I7</f>
        <v/>
      </c>
    </row>
    <row r="8">
      <c r="A8" s="24" t="n">
        <v>500</v>
      </c>
      <c r="B8" s="25">
        <f>A8*$B$2*Inputs!$B$31</f>
        <v/>
      </c>
      <c r="C8" s="26">
        <f>B8*Inputs!$B$5</f>
        <v/>
      </c>
      <c r="D8" s="26">
        <f>C8*Inputs!$B$6</f>
        <v/>
      </c>
      <c r="E8" s="26">
        <f>C8*Inputs!$B$7</f>
        <v/>
      </c>
      <c r="F8" s="26">
        <f>MAX(0,B8*Inputs!$B$9-Inputs!$B$22)/1000*Inputs!$B$15*Inputs!$B$4+B8*'RTC per-lesson'!$E$10</f>
        <v/>
      </c>
      <c r="G8" s="26">
        <f>MAX(0,B8*'RTC per-lesson'!$B$7-Inputs!$B$21)*Inputs!$B$20*Inputs!$B$4</f>
        <v/>
      </c>
      <c r="H8" s="26">
        <f>B8*Inputs!$B$24</f>
        <v/>
      </c>
      <c r="I8" s="26">
        <f>B8*Inputs!$B$28+=IF(B8&lt;=1000,3200,IF(B8&lt;=5000,6400,IF(B8&lt;=10000,9600,16000)))</f>
        <v/>
      </c>
      <c r="J8" s="26">
        <f>C8-D8-E8-F8-I8</f>
        <v/>
      </c>
      <c r="K8" s="26">
        <f>C8-D8-E8-G8-H8-I8</f>
        <v/>
      </c>
    </row>
    <row r="9">
      <c r="A9" s="24" t="n">
        <v>1000</v>
      </c>
      <c r="B9" s="25">
        <f>A9*$B$2*Inputs!$B$31</f>
        <v/>
      </c>
      <c r="C9" s="26">
        <f>B9*Inputs!$B$5</f>
        <v/>
      </c>
      <c r="D9" s="26">
        <f>C9*Inputs!$B$6</f>
        <v/>
      </c>
      <c r="E9" s="26">
        <f>C9*Inputs!$B$7</f>
        <v/>
      </c>
      <c r="F9" s="26">
        <f>MAX(0,B9*Inputs!$B$9-Inputs!$B$22)/1000*Inputs!$B$15*Inputs!$B$4+B9*'RTC per-lesson'!$E$10</f>
        <v/>
      </c>
      <c r="G9" s="26">
        <f>MAX(0,B9*'RTC per-lesson'!$B$7-Inputs!$B$21)*Inputs!$B$20*Inputs!$B$4</f>
        <v/>
      </c>
      <c r="H9" s="26">
        <f>B9*Inputs!$B$24</f>
        <v/>
      </c>
      <c r="I9" s="26">
        <f>B9*Inputs!$B$28+=IF(B9&lt;=1000,3200,IF(B9&lt;=5000,6400,IF(B9&lt;=10000,9600,16000)))</f>
        <v/>
      </c>
      <c r="J9" s="26">
        <f>C9-D9-E9-F9-I9</f>
        <v/>
      </c>
      <c r="K9" s="26">
        <f>C9-D9-E9-G9-H9-I9</f>
        <v/>
      </c>
    </row>
    <row r="11">
      <c r="A11" s="3" t="inlineStr">
        <is>
          <t>註：Agora 大量可談折扣；GPU/Media 以點數收費毛利≥60%，不在此表。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§12 損益兩平（情境 B）</t>
        </is>
      </c>
    </row>
    <row r="3">
      <c r="A3" s="3" t="inlineStr">
        <is>
          <t>每堂貢獻(情境B,NT$)</t>
        </is>
      </c>
      <c r="B3" s="20">
        <f>'UnitEcon (§10)'!$D$11</f>
        <v/>
      </c>
    </row>
    <row r="4">
      <c r="A4" s="3" t="inlineStr">
        <is>
          <t>月固定成本(可調)</t>
        </is>
      </c>
      <c r="B4" s="7" t="n">
        <v>300000</v>
      </c>
    </row>
    <row r="6">
      <c r="A6" s="2" t="inlineStr">
        <is>
          <t>週堂數→</t>
        </is>
      </c>
      <c r="B6" s="2" t="inlineStr">
        <is>
          <t>1</t>
        </is>
      </c>
      <c r="C6" s="2" t="inlineStr">
        <is>
          <t>2</t>
        </is>
      </c>
      <c r="D6" s="2" t="inlineStr">
        <is>
          <t>4</t>
        </is>
      </c>
      <c r="E6" s="2" t="inlineStr">
        <is>
          <t>8</t>
        </is>
      </c>
    </row>
    <row r="7">
      <c r="A7" s="3" t="inlineStr">
        <is>
          <t>Break-even 學生數</t>
        </is>
      </c>
      <c r="B7" s="27">
        <f>ROUNDUP($B$4/($B$3*1*Inputs!$B$31),0)</f>
        <v/>
      </c>
      <c r="C7" s="27">
        <f>ROUNDUP($B$4/($B$3*2*Inputs!$B$31),0)</f>
        <v/>
      </c>
      <c r="D7" s="27">
        <f>ROUNDUP($B$4/($B$3*4*Inputs!$B$31),0)</f>
        <v/>
      </c>
      <c r="E7" s="27">
        <f>ROUNDUP($B$4/($B$3*8*Inputs!$B$31),0)</f>
        <v/>
      </c>
    </row>
    <row r="9">
      <c r="A9" s="3" t="inlineStr">
        <is>
          <t>只算技術固定費 NT$3,200 時</t>
        </is>
      </c>
      <c r="B9" s="25">
        <f>ROUNDUP(3200/($B$3*2*Inputs!$B$31),0)</f>
        <v/>
      </c>
      <c r="C9" s="3" t="inlineStr">
        <is>
          <t>位學生(每週2堂)即打平</t>
        </is>
      </c>
    </row>
    <row r="11">
      <c r="A11" s="3" t="inlineStr">
        <is>
          <t>AI 每堂占貢獻比</t>
        </is>
      </c>
      <c r="B11" s="28">
        <f>Inputs!$B$24/$B$3</f>
        <v/>
      </c>
      <c r="C11" s="3" t="inlineStr">
        <is>
          <t>AI 提升續課/客單超過此比例即回本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2026-09-21T11:16:41Z</dcterms:created>
  <dcterms:modified xmlns:dcterms="http://purl.org/dc/terms/" xmlns:xsi="http://www.w3.org/2001/XMLSchema-instance" xsi:type="dcterms:W3CDTF">2026-09-21T11:16:41Z</dcterms:modified>
</cp:coreProperties>
</file>